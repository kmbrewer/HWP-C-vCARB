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b-my.sharepoint.com/personal/kelsey_brewer_arb_ca_gov/Documents/Biomass_MAIN/Biomass Modelling/HWP-C-vR/"/>
    </mc:Choice>
  </mc:AlternateContent>
  <xr:revisionPtr revIDLastSave="448" documentId="8_{C742A81C-392A-436F-B671-4EF0189DC7F0}" xr6:coauthVersionLast="47" xr6:coauthVersionMax="47" xr10:uidLastSave="{758EB453-91D6-4FB6-82F1-C2379E8F5162}"/>
  <bookViews>
    <workbookView xWindow="-110" yWindow="-110" windowWidth="19420" windowHeight="11500" xr2:uid="{E944B926-9D8F-4855-AF21-FC68B82D9EE8}"/>
  </bookViews>
  <sheets>
    <sheet name="Import Interpolation(1964-2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2" l="1"/>
  <c r="L39" i="2"/>
  <c r="N44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S55" i="2"/>
  <c r="N55" i="2"/>
  <c r="R55" i="2" s="1"/>
  <c r="M55" i="2"/>
  <c r="U55" i="2" s="1"/>
  <c r="L55" i="2"/>
  <c r="T55" i="2" s="1"/>
  <c r="K55" i="2"/>
  <c r="J55" i="2"/>
  <c r="H55" i="2"/>
  <c r="I55" i="2" s="1"/>
  <c r="N54" i="2"/>
  <c r="R54" i="2" s="1"/>
  <c r="M54" i="2"/>
  <c r="U54" i="2" s="1"/>
  <c r="L54" i="2"/>
  <c r="T54" i="2" s="1"/>
  <c r="K54" i="2"/>
  <c r="S54" i="2" s="1"/>
  <c r="J54" i="2"/>
  <c r="H54" i="2"/>
  <c r="I54" i="2" s="1"/>
  <c r="U53" i="2"/>
  <c r="N53" i="2"/>
  <c r="R53" i="2" s="1"/>
  <c r="M53" i="2"/>
  <c r="L53" i="2"/>
  <c r="T53" i="2" s="1"/>
  <c r="K53" i="2"/>
  <c r="S53" i="2" s="1"/>
  <c r="J53" i="2"/>
  <c r="H53" i="2"/>
  <c r="I53" i="2" s="1"/>
  <c r="U52" i="2"/>
  <c r="T52" i="2"/>
  <c r="N52" i="2"/>
  <c r="R52" i="2" s="1"/>
  <c r="M52" i="2"/>
  <c r="L52" i="2"/>
  <c r="K52" i="2"/>
  <c r="S52" i="2" s="1"/>
  <c r="J52" i="2"/>
  <c r="I52" i="2"/>
  <c r="H52" i="2"/>
  <c r="U51" i="2"/>
  <c r="T51" i="2"/>
  <c r="S51" i="2"/>
  <c r="N51" i="2"/>
  <c r="M51" i="2"/>
  <c r="L51" i="2"/>
  <c r="K51" i="2"/>
  <c r="J51" i="2"/>
  <c r="R51" i="2" s="1"/>
  <c r="H51" i="2"/>
  <c r="I51" i="2" s="1"/>
  <c r="U50" i="2"/>
  <c r="T50" i="2"/>
  <c r="S50" i="2"/>
  <c r="R50" i="2"/>
  <c r="N50" i="2"/>
  <c r="M50" i="2"/>
  <c r="L50" i="2"/>
  <c r="K50" i="2"/>
  <c r="J50" i="2"/>
  <c r="I50" i="2"/>
  <c r="H50" i="2"/>
  <c r="U49" i="2"/>
  <c r="T49" i="2"/>
  <c r="S49" i="2"/>
  <c r="N49" i="2"/>
  <c r="R49" i="2" s="1"/>
  <c r="M49" i="2"/>
  <c r="L49" i="2"/>
  <c r="K49" i="2"/>
  <c r="J49" i="2"/>
  <c r="H49" i="2"/>
  <c r="I49" i="2" s="1"/>
  <c r="T48" i="2"/>
  <c r="S48" i="2"/>
  <c r="N48" i="2"/>
  <c r="R48" i="2" s="1"/>
  <c r="M48" i="2"/>
  <c r="U48" i="2" s="1"/>
  <c r="L48" i="2"/>
  <c r="K48" i="2"/>
  <c r="J48" i="2"/>
  <c r="H48" i="2"/>
  <c r="I48" i="2" s="1"/>
  <c r="S47" i="2"/>
  <c r="N47" i="2"/>
  <c r="R47" i="2" s="1"/>
  <c r="M47" i="2"/>
  <c r="U47" i="2" s="1"/>
  <c r="L47" i="2"/>
  <c r="T47" i="2" s="1"/>
  <c r="K47" i="2"/>
  <c r="J47" i="2"/>
  <c r="H47" i="2"/>
  <c r="I47" i="2" s="1"/>
  <c r="R46" i="2"/>
  <c r="N46" i="2"/>
  <c r="M46" i="2"/>
  <c r="U46" i="2" s="1"/>
  <c r="L46" i="2"/>
  <c r="T46" i="2" s="1"/>
  <c r="K46" i="2"/>
  <c r="S46" i="2" s="1"/>
  <c r="J46" i="2"/>
  <c r="H46" i="2"/>
  <c r="I46" i="2" s="1"/>
  <c r="N45" i="2"/>
  <c r="R45" i="2" s="1"/>
  <c r="M45" i="2"/>
  <c r="U45" i="2" s="1"/>
  <c r="L45" i="2"/>
  <c r="T45" i="2" s="1"/>
  <c r="K45" i="2"/>
  <c r="S45" i="2" s="1"/>
  <c r="J45" i="2"/>
  <c r="I45" i="2"/>
  <c r="H45" i="2"/>
  <c r="M44" i="2"/>
  <c r="U44" i="2" s="1"/>
  <c r="L44" i="2"/>
  <c r="T44" i="2" s="1"/>
  <c r="K44" i="2"/>
  <c r="S44" i="2" s="1"/>
  <c r="J44" i="2"/>
  <c r="R44" i="2" s="1"/>
  <c r="I44" i="2"/>
  <c r="H44" i="2"/>
  <c r="N43" i="2"/>
  <c r="R43" i="2" s="1"/>
  <c r="M43" i="2"/>
  <c r="U43" i="2" s="1"/>
  <c r="L43" i="2"/>
  <c r="T43" i="2" s="1"/>
  <c r="K43" i="2"/>
  <c r="S43" i="2" s="1"/>
  <c r="J43" i="2"/>
  <c r="H43" i="2"/>
  <c r="I43" i="2" s="1"/>
  <c r="N42" i="2"/>
  <c r="R42" i="2" s="1"/>
  <c r="M42" i="2"/>
  <c r="U42" i="2" s="1"/>
  <c r="L42" i="2"/>
  <c r="T42" i="2" s="1"/>
  <c r="K42" i="2"/>
  <c r="S42" i="2" s="1"/>
  <c r="J42" i="2"/>
  <c r="H42" i="2"/>
  <c r="I42" i="2" s="1"/>
  <c r="U41" i="2"/>
  <c r="N41" i="2"/>
  <c r="R41" i="2" s="1"/>
  <c r="M41" i="2"/>
  <c r="L41" i="2"/>
  <c r="T41" i="2" s="1"/>
  <c r="K41" i="2"/>
  <c r="S41" i="2" s="1"/>
  <c r="J41" i="2"/>
  <c r="H41" i="2"/>
  <c r="I41" i="2" s="1"/>
  <c r="U40" i="2"/>
  <c r="T40" i="2"/>
  <c r="N40" i="2"/>
  <c r="R40" i="2" s="1"/>
  <c r="M40" i="2"/>
  <c r="L40" i="2"/>
  <c r="K40" i="2"/>
  <c r="S40" i="2" s="1"/>
  <c r="J40" i="2"/>
  <c r="I40" i="2"/>
  <c r="H40" i="2"/>
  <c r="U39" i="2"/>
  <c r="T39" i="2"/>
  <c r="N39" i="2"/>
  <c r="M39" i="2"/>
  <c r="K39" i="2"/>
  <c r="J39" i="2"/>
  <c r="R39" i="2" s="1"/>
  <c r="H39" i="2"/>
  <c r="I39" i="2" s="1"/>
  <c r="H38" i="2"/>
  <c r="I38" i="2" s="1"/>
  <c r="H37" i="2"/>
  <c r="I37" i="2" s="1"/>
  <c r="H36" i="2"/>
  <c r="I36" i="2" s="1"/>
  <c r="H35" i="2"/>
  <c r="I35" i="2" s="1"/>
  <c r="I34" i="2"/>
  <c r="H34" i="2"/>
  <c r="I33" i="2"/>
  <c r="H33" i="2"/>
  <c r="I32" i="2"/>
  <c r="H32" i="2"/>
  <c r="H31" i="2"/>
  <c r="I31" i="2" s="1"/>
  <c r="H30" i="2"/>
  <c r="I30" i="2" s="1"/>
  <c r="H29" i="2"/>
  <c r="I29" i="2" s="1"/>
  <c r="I28" i="2"/>
  <c r="H28" i="2"/>
  <c r="H27" i="2"/>
  <c r="I27" i="2" s="1"/>
  <c r="H26" i="2"/>
  <c r="I26" i="2" s="1"/>
  <c r="H25" i="2"/>
  <c r="I25" i="2" s="1"/>
  <c r="H24" i="2"/>
  <c r="I24" i="2" s="1"/>
  <c r="H23" i="2"/>
  <c r="I23" i="2" s="1"/>
  <c r="I22" i="2"/>
  <c r="H22" i="2"/>
  <c r="I21" i="2"/>
  <c r="H21" i="2"/>
  <c r="I20" i="2"/>
  <c r="H20" i="2"/>
  <c r="H19" i="2"/>
  <c r="I19" i="2" s="1"/>
  <c r="H18" i="2"/>
  <c r="I18" i="2" s="1"/>
  <c r="H17" i="2"/>
  <c r="I17" i="2" s="1"/>
  <c r="I16" i="2"/>
  <c r="H16" i="2"/>
  <c r="H15" i="2"/>
  <c r="I15" i="2" s="1"/>
  <c r="H14" i="2"/>
  <c r="I14" i="2" s="1"/>
  <c r="H13" i="2"/>
  <c r="I13" i="2" s="1"/>
  <c r="H12" i="2"/>
  <c r="I12" i="2" s="1"/>
  <c r="H11" i="2"/>
  <c r="I11" i="2" s="1"/>
  <c r="I10" i="2"/>
  <c r="H10" i="2"/>
  <c r="I9" i="2"/>
  <c r="H9" i="2"/>
  <c r="I8" i="2"/>
  <c r="H8" i="2"/>
  <c r="H7" i="2"/>
  <c r="I7" i="2" s="1"/>
  <c r="H6" i="2"/>
  <c r="I6" i="2" s="1"/>
  <c r="H5" i="2"/>
  <c r="I5" i="2" s="1"/>
  <c r="I4" i="2"/>
  <c r="H4" i="2"/>
  <c r="H3" i="2"/>
  <c r="I3" i="2" s="1"/>
  <c r="U56" i="2" l="1"/>
  <c r="T57" i="2"/>
  <c r="R57" i="2"/>
  <c r="R56" i="2"/>
  <c r="S57" i="2"/>
  <c r="U57" i="2"/>
  <c r="S56" i="2"/>
  <c r="T56" i="2"/>
  <c r="M35" i="2" l="1"/>
  <c r="M23" i="2"/>
  <c r="M11" i="2"/>
  <c r="M12" i="2"/>
  <c r="M33" i="2"/>
  <c r="M21" i="2"/>
  <c r="M9" i="2"/>
  <c r="M26" i="2"/>
  <c r="M14" i="2"/>
  <c r="M38" i="2"/>
  <c r="M31" i="2"/>
  <c r="M36" i="2"/>
  <c r="M24" i="2"/>
  <c r="M29" i="2"/>
  <c r="M17" i="2"/>
  <c r="M5" i="2"/>
  <c r="M37" i="2"/>
  <c r="M18" i="2"/>
  <c r="M6" i="2"/>
  <c r="M19" i="2"/>
  <c r="M34" i="2"/>
  <c r="M22" i="2"/>
  <c r="M10" i="2"/>
  <c r="M25" i="2"/>
  <c r="M4" i="2"/>
  <c r="M27" i="2"/>
  <c r="M15" i="2"/>
  <c r="M3" i="2"/>
  <c r="M32" i="2"/>
  <c r="M20" i="2"/>
  <c r="M13" i="2"/>
  <c r="M30" i="2"/>
  <c r="M28" i="2"/>
  <c r="M16" i="2"/>
  <c r="M7" i="2"/>
  <c r="M8" i="2"/>
  <c r="L30" i="2"/>
  <c r="L18" i="2"/>
  <c r="L6" i="2"/>
  <c r="L28" i="2"/>
  <c r="L16" i="2"/>
  <c r="L4" i="2"/>
  <c r="L33" i="2"/>
  <c r="L21" i="2"/>
  <c r="L38" i="2"/>
  <c r="L31" i="2"/>
  <c r="L36" i="2"/>
  <c r="L24" i="2"/>
  <c r="L12" i="2"/>
  <c r="L3" i="2"/>
  <c r="L32" i="2"/>
  <c r="L37" i="2"/>
  <c r="L23" i="2"/>
  <c r="L29" i="2"/>
  <c r="L17" i="2"/>
  <c r="L5" i="2"/>
  <c r="L20" i="2"/>
  <c r="L25" i="2"/>
  <c r="L13" i="2"/>
  <c r="L35" i="2"/>
  <c r="L11" i="2"/>
  <c r="L9" i="2"/>
  <c r="L26" i="2"/>
  <c r="L19" i="2"/>
  <c r="L7" i="2"/>
  <c r="L34" i="2"/>
  <c r="L22" i="2"/>
  <c r="L10" i="2"/>
  <c r="L27" i="2"/>
  <c r="L15" i="2"/>
  <c r="L8" i="2"/>
  <c r="L14" i="2"/>
  <c r="K37" i="2"/>
  <c r="K25" i="2"/>
  <c r="J25" i="2" s="1"/>
  <c r="V25" i="2" s="1"/>
  <c r="K13" i="2"/>
  <c r="K30" i="2"/>
  <c r="J30" i="2" s="1"/>
  <c r="V30" i="2" s="1"/>
  <c r="K35" i="2"/>
  <c r="J35" i="2" s="1"/>
  <c r="V35" i="2" s="1"/>
  <c r="K23" i="2"/>
  <c r="J23" i="2" s="1"/>
  <c r="V23" i="2" s="1"/>
  <c r="K11" i="2"/>
  <c r="J11" i="2" s="1"/>
  <c r="V11" i="2" s="1"/>
  <c r="K28" i="2"/>
  <c r="K33" i="2"/>
  <c r="K21" i="2"/>
  <c r="K38" i="2"/>
  <c r="J38" i="2" s="1"/>
  <c r="V38" i="2" s="1"/>
  <c r="K26" i="2"/>
  <c r="K31" i="2"/>
  <c r="J31" i="2" s="1"/>
  <c r="V31" i="2" s="1"/>
  <c r="K19" i="2"/>
  <c r="K7" i="2"/>
  <c r="K10" i="2"/>
  <c r="J10" i="2" s="1"/>
  <c r="V10" i="2" s="1"/>
  <c r="K27" i="2"/>
  <c r="J27" i="2" s="1"/>
  <c r="V27" i="2" s="1"/>
  <c r="K32" i="2"/>
  <c r="J32" i="2" s="1"/>
  <c r="V32" i="2" s="1"/>
  <c r="K4" i="2"/>
  <c r="J4" i="2" s="1"/>
  <c r="V4" i="2" s="1"/>
  <c r="K14" i="2"/>
  <c r="K36" i="2"/>
  <c r="K24" i="2"/>
  <c r="K12" i="2"/>
  <c r="K34" i="2"/>
  <c r="K22" i="2"/>
  <c r="K15" i="2"/>
  <c r="K3" i="2"/>
  <c r="K18" i="2"/>
  <c r="J18" i="2" s="1"/>
  <c r="V18" i="2" s="1"/>
  <c r="K9" i="2"/>
  <c r="J9" i="2" s="1"/>
  <c r="V9" i="2" s="1"/>
  <c r="K29" i="2"/>
  <c r="J29" i="2" s="1"/>
  <c r="V29" i="2" s="1"/>
  <c r="K17" i="2"/>
  <c r="J17" i="2" s="1"/>
  <c r="V17" i="2" s="1"/>
  <c r="K5" i="2"/>
  <c r="K20" i="2"/>
  <c r="K8" i="2"/>
  <c r="K6" i="2"/>
  <c r="K16" i="2"/>
  <c r="J13" i="2" l="1"/>
  <c r="V13" i="2" s="1"/>
  <c r="J15" i="2"/>
  <c r="V15" i="2" s="1"/>
  <c r="J16" i="2"/>
  <c r="V16" i="2" s="1"/>
  <c r="J21" i="2"/>
  <c r="V21" i="2" s="1"/>
  <c r="J22" i="2"/>
  <c r="V22" i="2" s="1"/>
  <c r="J37" i="2"/>
  <c r="V37" i="2" s="1"/>
  <c r="J26" i="2"/>
  <c r="V26" i="2" s="1"/>
  <c r="J8" i="2"/>
  <c r="V8" i="2" s="1"/>
  <c r="J20" i="2"/>
  <c r="V20" i="2" s="1"/>
  <c r="J36" i="2"/>
  <c r="V36" i="2" s="1"/>
  <c r="J33" i="2"/>
  <c r="V33" i="2" s="1"/>
  <c r="J7" i="2"/>
  <c r="V7" i="2" s="1"/>
  <c r="J19" i="2"/>
  <c r="V19" i="2" s="1"/>
  <c r="J34" i="2"/>
  <c r="V34" i="2" s="1"/>
  <c r="J6" i="2"/>
  <c r="V6" i="2" s="1"/>
  <c r="J12" i="2"/>
  <c r="V12" i="2" s="1"/>
  <c r="J24" i="2"/>
  <c r="V24" i="2" s="1"/>
  <c r="J5" i="2"/>
  <c r="V5" i="2" s="1"/>
  <c r="J14" i="2"/>
  <c r="V14" i="2" s="1"/>
  <c r="J28" i="2"/>
  <c r="V28" i="2" s="1"/>
  <c r="J3" i="2"/>
  <c r="V3" i="2" s="1"/>
</calcChain>
</file>

<file path=xl/sharedStrings.xml><?xml version="1.0" encoding="utf-8"?>
<sst xmlns="http://schemas.openxmlformats.org/spreadsheetml/2006/main" count="36" uniqueCount="24">
  <si>
    <t>Year</t>
  </si>
  <si>
    <t>CA population</t>
  </si>
  <si>
    <t>total numbers (2001-2022)</t>
  </si>
  <si>
    <t>graphs #'s: total cumulative stock; imports vs. domestic; PIU vs SWDS; emissions with and without energy capture; total inflow numbers</t>
  </si>
  <si>
    <t>have glossary tab</t>
  </si>
  <si>
    <t>board feet --&gt; CF conversion:</t>
  </si>
  <si>
    <t>Conversion</t>
  </si>
  <si>
    <t>StartYear</t>
  </si>
  <si>
    <t>EndYear</t>
  </si>
  <si>
    <t>Per capita consumption (CF)</t>
  </si>
  <si>
    <t>All products</t>
  </si>
  <si>
    <t xml:space="preserve">Lumber </t>
  </si>
  <si>
    <t>Plywood/Veneer</t>
  </si>
  <si>
    <t>Pulp and Paper</t>
  </si>
  <si>
    <t>Ratio</t>
  </si>
  <si>
    <t>AVG</t>
  </si>
  <si>
    <t>SD</t>
  </si>
  <si>
    <t>Domestic Production</t>
  </si>
  <si>
    <t>BQL (Hundred Board Feet)</t>
  </si>
  <si>
    <t>MMBF (Million Board Feet)</t>
  </si>
  <si>
    <t>CCF (Hundred Cubic Feet)</t>
  </si>
  <si>
    <t>Consumption (CA total; MBF)</t>
  </si>
  <si>
    <t>REMI (CA total; MBF)</t>
  </si>
  <si>
    <t>Modelled Estimate (MBF)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</si>
</sst>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444444"/>
      <name val="Arial"/>
      <family val="2"/>
    </font>
    <font>
      <b/>
      <i/>
      <sz val="11"/>
      <color theme="1"/>
      <name val="Aptos Narrow"/>
      <family val="2"/>
      <scheme val="minor"/>
    </font>
    <font>
      <sz val="11"/>
      <color rgb="FF444444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3" fontId="0" fillId="0" borderId="0" xfId="0" applyNumberFormat="1"/>
    <xf numFmtId="43" fontId="0" fillId="0" borderId="0" xfId="1" applyFont="1"/>
    <xf numFmtId="43" fontId="0" fillId="0" borderId="0" xfId="0" applyNumberFormat="1"/>
    <xf numFmtId="43" fontId="2" fillId="0" borderId="0" xfId="0" applyNumberFormat="1" applyFont="1"/>
    <xf numFmtId="3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43" fontId="4" fillId="0" borderId="0" xfId="1" applyFont="1"/>
    <xf numFmtId="2" fontId="5" fillId="2" borderId="1" xfId="0" applyNumberFormat="1" applyFont="1" applyFill="1" applyBorder="1" applyAlignment="1">
      <alignment horizontal="right" vertical="center" wrapText="1" indent="1"/>
    </xf>
    <xf numFmtId="43" fontId="6" fillId="0" borderId="0" xfId="0" applyNumberFormat="1" applyFont="1"/>
    <xf numFmtId="0" fontId="0" fillId="0" borderId="0" xfId="0" applyAlignment="1">
      <alignment horizontal="right"/>
    </xf>
    <xf numFmtId="43" fontId="7" fillId="0" borderId="0" xfId="1" applyFont="1"/>
    <xf numFmtId="0" fontId="8" fillId="0" borderId="0" xfId="0" applyFont="1"/>
    <xf numFmtId="43" fontId="8" fillId="0" borderId="0" xfId="1" applyFont="1"/>
    <xf numFmtId="43" fontId="8" fillId="0" borderId="0" xfId="0" applyNumberFormat="1" applyFont="1"/>
    <xf numFmtId="0" fontId="0" fillId="0" borderId="0" xfId="0" applyAlignment="1">
      <alignment horizontal="center"/>
    </xf>
    <xf numFmtId="0" fontId="5" fillId="0" borderId="1" xfId="0" applyNumberFormat="1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NumberFormat="1"/>
    <xf numFmtId="0" fontId="8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5CB1-0825-4FDE-8214-CC3A8AB14442}">
  <dimension ref="A1:AE114"/>
  <sheetViews>
    <sheetView tabSelected="1" topLeftCell="H25" zoomScale="75" zoomScaleNormal="100" workbookViewId="0">
      <selection activeCell="S40" sqref="S40"/>
    </sheetView>
  </sheetViews>
  <sheetFormatPr defaultRowHeight="14.5" x14ac:dyDescent="0.35"/>
  <cols>
    <col min="1" max="1" width="27.6328125" bestFit="1" customWidth="1"/>
    <col min="2" max="2" width="12.08984375" bestFit="1" customWidth="1"/>
    <col min="3" max="3" width="8.54296875" bestFit="1" customWidth="1"/>
    <col min="4" max="4" width="16.36328125" bestFit="1" customWidth="1"/>
    <col min="5" max="5" width="15.08984375" bestFit="1" customWidth="1"/>
    <col min="6" max="6" width="129.453125" bestFit="1" customWidth="1"/>
    <col min="7" max="9" width="24.26953125" customWidth="1"/>
    <col min="10" max="17" width="18.36328125" bestFit="1" customWidth="1"/>
    <col min="18" max="18" width="16.7265625" bestFit="1" customWidth="1"/>
    <col min="19" max="21" width="18.36328125" bestFit="1" customWidth="1"/>
    <col min="22" max="22" width="18.36328125" style="17" bestFit="1" customWidth="1"/>
    <col min="23" max="26" width="18.36328125" bestFit="1" customWidth="1"/>
    <col min="27" max="31" width="11" bestFit="1" customWidth="1"/>
  </cols>
  <sheetData>
    <row r="1" spans="1:22" x14ac:dyDescent="0.35">
      <c r="A1" t="s">
        <v>0</v>
      </c>
      <c r="B1" s="20" t="s">
        <v>9</v>
      </c>
      <c r="C1" s="20"/>
      <c r="D1" s="20"/>
      <c r="E1" s="20"/>
      <c r="F1" s="15" t="s">
        <v>1</v>
      </c>
      <c r="G1" s="20" t="s">
        <v>17</v>
      </c>
      <c r="H1" s="20"/>
      <c r="I1" s="20"/>
      <c r="J1" s="20" t="s">
        <v>21</v>
      </c>
      <c r="K1" s="20"/>
      <c r="L1" s="20"/>
      <c r="M1" s="20"/>
      <c r="N1" s="20" t="s">
        <v>22</v>
      </c>
      <c r="O1" s="20"/>
      <c r="P1" s="20"/>
      <c r="Q1" s="20"/>
      <c r="R1" s="20" t="s">
        <v>14</v>
      </c>
      <c r="S1" s="20"/>
      <c r="T1" s="20"/>
      <c r="U1" s="20"/>
      <c r="V1" s="17" t="s">
        <v>23</v>
      </c>
    </row>
    <row r="2" spans="1:22" x14ac:dyDescent="0.35">
      <c r="B2" t="s">
        <v>10</v>
      </c>
      <c r="C2" t="s">
        <v>11</v>
      </c>
      <c r="D2" t="s">
        <v>12</v>
      </c>
      <c r="E2" t="s">
        <v>13</v>
      </c>
      <c r="G2" t="s">
        <v>19</v>
      </c>
      <c r="H2" t="s">
        <v>18</v>
      </c>
      <c r="I2" t="s">
        <v>20</v>
      </c>
      <c r="J2" t="s">
        <v>10</v>
      </c>
      <c r="K2" t="s">
        <v>11</v>
      </c>
      <c r="L2" t="s">
        <v>12</v>
      </c>
      <c r="M2" t="s">
        <v>13</v>
      </c>
      <c r="N2" t="s">
        <v>10</v>
      </c>
      <c r="O2" t="s">
        <v>11</v>
      </c>
      <c r="P2" t="s">
        <v>12</v>
      </c>
      <c r="Q2" t="s">
        <v>13</v>
      </c>
      <c r="R2" t="s">
        <v>10</v>
      </c>
      <c r="S2" t="s">
        <v>11</v>
      </c>
      <c r="T2" t="s">
        <v>12</v>
      </c>
      <c r="U2" t="s">
        <v>13</v>
      </c>
    </row>
    <row r="3" spans="1:22" ht="16" x14ac:dyDescent="0.5">
      <c r="A3">
        <v>1965</v>
      </c>
      <c r="B3" s="1">
        <v>68.5</v>
      </c>
      <c r="C3" s="1">
        <v>35.6</v>
      </c>
      <c r="D3" s="1">
        <v>5.9</v>
      </c>
      <c r="E3" s="1">
        <v>18.899999999999999</v>
      </c>
      <c r="F3" s="2">
        <v>18585000</v>
      </c>
      <c r="G3" s="2">
        <v>5476</v>
      </c>
      <c r="H3" s="2">
        <f t="shared" ref="H3:H54" si="0">G3*10000</f>
        <v>54760000</v>
      </c>
      <c r="I3" s="2">
        <f>H3/A$60</f>
        <v>9096345.5149501674</v>
      </c>
      <c r="J3" s="12">
        <f>SUM(K3:M3)</f>
        <v>4945224.9673339175</v>
      </c>
      <c r="K3" s="16">
        <f>(C3*$F3/100)*S$56</f>
        <v>1592594.564121726</v>
      </c>
      <c r="L3" s="16">
        <f t="shared" ref="L3:M37" si="1">(D3*$F3/100)*T$56</f>
        <v>742578.87975678209</v>
      </c>
      <c r="M3" s="16">
        <f t="shared" si="1"/>
        <v>2610051.5234554093</v>
      </c>
      <c r="N3" s="14"/>
      <c r="V3" s="19">
        <f>J3*1.2</f>
        <v>5934269.9608007008</v>
      </c>
    </row>
    <row r="4" spans="1:22" ht="16" x14ac:dyDescent="0.5">
      <c r="A4">
        <v>1966</v>
      </c>
      <c r="B4">
        <v>69.2</v>
      </c>
      <c r="C4">
        <v>35</v>
      </c>
      <c r="D4">
        <v>6.1</v>
      </c>
      <c r="E4">
        <v>19.899999999999999</v>
      </c>
      <c r="F4" s="2">
        <v>18858000</v>
      </c>
      <c r="G4" s="2">
        <v>5271</v>
      </c>
      <c r="H4" s="2">
        <f t="shared" si="0"/>
        <v>52710000</v>
      </c>
      <c r="I4" s="2">
        <f t="shared" ref="I4:I55" si="2">H4/A$60</f>
        <v>8755813.9534883723</v>
      </c>
      <c r="J4" s="12">
        <f t="shared" ref="J4:J38" si="3">SUM(K4:M4)</f>
        <v>5156299.374859862</v>
      </c>
      <c r="K4" s="16">
        <f t="shared" ref="K4:K38" si="4">(C4*$F4/100)*S$56</f>
        <v>1588752.8455007251</v>
      </c>
      <c r="L4" s="16">
        <f t="shared" si="1"/>
        <v>779028.74414089846</v>
      </c>
      <c r="M4" s="16">
        <f t="shared" si="1"/>
        <v>2788517.7852182379</v>
      </c>
      <c r="N4" s="14"/>
      <c r="V4" s="19">
        <f t="shared" ref="V4:V38" si="5">J4*1.2</f>
        <v>6187559.2498318339</v>
      </c>
    </row>
    <row r="5" spans="1:22" ht="16" x14ac:dyDescent="0.5">
      <c r="A5">
        <v>1967</v>
      </c>
      <c r="B5">
        <v>66.7</v>
      </c>
      <c r="C5">
        <v>33.6</v>
      </c>
      <c r="D5">
        <v>5.9</v>
      </c>
      <c r="E5">
        <v>19.2</v>
      </c>
      <c r="F5" s="2">
        <v>19176000</v>
      </c>
      <c r="G5" s="2">
        <v>5008</v>
      </c>
      <c r="H5" s="2">
        <f t="shared" si="0"/>
        <v>50080000</v>
      </c>
      <c r="I5" s="2">
        <f t="shared" si="2"/>
        <v>8318936.8770764126</v>
      </c>
      <c r="J5" s="12">
        <f t="shared" si="3"/>
        <v>5052912.3728729244</v>
      </c>
      <c r="K5" s="16">
        <f t="shared" si="4"/>
        <v>1550922.0268697119</v>
      </c>
      <c r="L5" s="16">
        <f t="shared" si="1"/>
        <v>766192.76826559345</v>
      </c>
      <c r="M5" s="16">
        <f t="shared" si="1"/>
        <v>2735797.5777376187</v>
      </c>
      <c r="N5" s="14"/>
      <c r="V5" s="19">
        <f t="shared" si="5"/>
        <v>6063494.8474475089</v>
      </c>
    </row>
    <row r="6" spans="1:22" ht="16" x14ac:dyDescent="0.5">
      <c r="A6">
        <v>1968</v>
      </c>
      <c r="B6">
        <v>68.900000000000006</v>
      </c>
      <c r="C6">
        <v>34.4</v>
      </c>
      <c r="D6">
        <v>6.8</v>
      </c>
      <c r="E6">
        <v>19.8</v>
      </c>
      <c r="F6" s="2">
        <v>19394000</v>
      </c>
      <c r="G6" s="2">
        <v>5062</v>
      </c>
      <c r="H6" s="2">
        <f t="shared" si="0"/>
        <v>50620000</v>
      </c>
      <c r="I6" s="2">
        <f t="shared" si="2"/>
        <v>8408637.873754153</v>
      </c>
      <c r="J6" s="12">
        <f t="shared" si="3"/>
        <v>5352373.4599699527</v>
      </c>
      <c r="K6" s="16">
        <f t="shared" si="4"/>
        <v>1605900.0051301494</v>
      </c>
      <c r="L6" s="16">
        <f t="shared" si="1"/>
        <v>893108.69982827979</v>
      </c>
      <c r="M6" s="16">
        <f t="shared" si="1"/>
        <v>2853364.7550115241</v>
      </c>
      <c r="N6" s="14"/>
      <c r="V6" s="19">
        <f t="shared" si="5"/>
        <v>6422848.1519639427</v>
      </c>
    </row>
    <row r="7" spans="1:22" ht="16" x14ac:dyDescent="0.5">
      <c r="A7">
        <v>1969</v>
      </c>
      <c r="B7">
        <v>69.5</v>
      </c>
      <c r="C7">
        <v>33.4</v>
      </c>
      <c r="D7">
        <v>6.3</v>
      </c>
      <c r="E7">
        <v>21.4</v>
      </c>
      <c r="F7" s="2">
        <v>19711000</v>
      </c>
      <c r="G7" s="2">
        <v>5472</v>
      </c>
      <c r="H7" s="2">
        <f t="shared" si="0"/>
        <v>54720000</v>
      </c>
      <c r="I7" s="2">
        <f t="shared" si="2"/>
        <v>9089700.9966777414</v>
      </c>
      <c r="J7" s="12">
        <f t="shared" si="3"/>
        <v>5560013.8060996439</v>
      </c>
      <c r="K7" s="16">
        <f t="shared" si="4"/>
        <v>1584702.6727239734</v>
      </c>
      <c r="L7" s="16">
        <f t="shared" si="1"/>
        <v>840963.64831289474</v>
      </c>
      <c r="M7" s="16">
        <f t="shared" si="1"/>
        <v>3134347.4850627757</v>
      </c>
      <c r="N7" s="14"/>
      <c r="V7" s="19">
        <f t="shared" si="5"/>
        <v>6672016.5673195729</v>
      </c>
    </row>
    <row r="8" spans="1:22" ht="16" x14ac:dyDescent="0.5">
      <c r="A8">
        <v>1970</v>
      </c>
      <c r="B8">
        <v>73.8</v>
      </c>
      <c r="C8">
        <v>35.9</v>
      </c>
      <c r="D8">
        <v>6.4</v>
      </c>
      <c r="E8">
        <v>22.1</v>
      </c>
      <c r="F8" s="2">
        <v>19971069</v>
      </c>
      <c r="G8" s="2">
        <v>5001</v>
      </c>
      <c r="H8" s="2">
        <f t="shared" si="0"/>
        <v>50010000</v>
      </c>
      <c r="I8" s="2">
        <f t="shared" si="2"/>
        <v>8307308.970099668</v>
      </c>
      <c r="J8" s="12">
        <f t="shared" si="3"/>
        <v>5870956.5737349819</v>
      </c>
      <c r="K8" s="16">
        <f t="shared" si="4"/>
        <v>1725791.9003405049</v>
      </c>
      <c r="L8" s="16">
        <f t="shared" si="1"/>
        <v>865584.16338689905</v>
      </c>
      <c r="M8" s="16">
        <f t="shared" si="1"/>
        <v>3279580.5100075775</v>
      </c>
      <c r="N8" s="14"/>
      <c r="V8" s="19">
        <f t="shared" si="5"/>
        <v>7045147.8884819783</v>
      </c>
    </row>
    <row r="9" spans="1:22" ht="16" x14ac:dyDescent="0.5">
      <c r="A9">
        <v>1971</v>
      </c>
      <c r="B9">
        <v>70.900000000000006</v>
      </c>
      <c r="C9">
        <v>34.700000000000003</v>
      </c>
      <c r="D9">
        <v>7.4</v>
      </c>
      <c r="E9">
        <v>20</v>
      </c>
      <c r="F9" s="2">
        <v>20345939</v>
      </c>
      <c r="G9" s="2">
        <v>4566</v>
      </c>
      <c r="H9" s="2">
        <f t="shared" si="0"/>
        <v>45660000</v>
      </c>
      <c r="I9" s="2">
        <f t="shared" si="2"/>
        <v>7584717.6079734229</v>
      </c>
      <c r="J9" s="12">
        <f t="shared" si="3"/>
        <v>5742691.0900112828</v>
      </c>
      <c r="K9" s="16">
        <f t="shared" si="4"/>
        <v>1699416.6875414846</v>
      </c>
      <c r="L9" s="16">
        <f t="shared" si="1"/>
        <v>1019617.9529475356</v>
      </c>
      <c r="M9" s="16">
        <f t="shared" si="1"/>
        <v>3023656.4495222624</v>
      </c>
      <c r="N9" s="14"/>
      <c r="V9" s="19">
        <f t="shared" si="5"/>
        <v>6891229.3080135388</v>
      </c>
    </row>
    <row r="10" spans="1:22" ht="16" x14ac:dyDescent="0.5">
      <c r="A10">
        <v>1972</v>
      </c>
      <c r="B10">
        <v>72.2</v>
      </c>
      <c r="C10">
        <v>36.200000000000003</v>
      </c>
      <c r="D10">
        <v>8.1</v>
      </c>
      <c r="E10">
        <v>19.399999999999999</v>
      </c>
      <c r="F10" s="2">
        <v>20585469</v>
      </c>
      <c r="G10" s="2">
        <v>4790</v>
      </c>
      <c r="H10" s="2">
        <f t="shared" si="0"/>
        <v>47900000</v>
      </c>
      <c r="I10" s="2">
        <f t="shared" si="2"/>
        <v>7956810.6312292367</v>
      </c>
      <c r="J10" s="12">
        <f t="shared" si="3"/>
        <v>5890433.9287768044</v>
      </c>
      <c r="K10" s="16">
        <f t="shared" si="4"/>
        <v>1793750.3638921781</v>
      </c>
      <c r="L10" s="16">
        <f t="shared" si="1"/>
        <v>1129207.6216488832</v>
      </c>
      <c r="M10" s="16">
        <f t="shared" si="1"/>
        <v>2967475.9432357424</v>
      </c>
      <c r="N10" s="14"/>
      <c r="V10" s="19">
        <f t="shared" si="5"/>
        <v>7068520.7145321649</v>
      </c>
    </row>
    <row r="11" spans="1:22" ht="16" x14ac:dyDescent="0.5">
      <c r="A11">
        <v>1973</v>
      </c>
      <c r="B11">
        <v>71.8</v>
      </c>
      <c r="C11">
        <v>36.299999999999997</v>
      </c>
      <c r="D11">
        <v>7.7</v>
      </c>
      <c r="E11">
        <v>19.8</v>
      </c>
      <c r="F11" s="2">
        <v>20868728</v>
      </c>
      <c r="G11" s="2">
        <v>5557</v>
      </c>
      <c r="H11" s="2">
        <f t="shared" si="0"/>
        <v>55570000</v>
      </c>
      <c r="I11" s="2">
        <f t="shared" si="2"/>
        <v>9230897.0099667776</v>
      </c>
      <c r="J11" s="12">
        <f t="shared" si="3"/>
        <v>5982006.7727843653</v>
      </c>
      <c r="K11" s="16">
        <f t="shared" si="4"/>
        <v>1823455.9201989269</v>
      </c>
      <c r="L11" s="16">
        <f t="shared" si="1"/>
        <v>1088215.0292832768</v>
      </c>
      <c r="M11" s="16">
        <f t="shared" si="1"/>
        <v>3070335.8233021623</v>
      </c>
      <c r="N11" s="14"/>
      <c r="V11" s="19">
        <f t="shared" si="5"/>
        <v>7178408.1273412379</v>
      </c>
    </row>
    <row r="12" spans="1:22" ht="16" x14ac:dyDescent="0.5">
      <c r="A12">
        <v>1974</v>
      </c>
      <c r="B12">
        <v>68.5</v>
      </c>
      <c r="C12">
        <v>32.9</v>
      </c>
      <c r="D12">
        <v>6.3</v>
      </c>
      <c r="E12">
        <v>21.2</v>
      </c>
      <c r="F12" s="2">
        <v>21173865</v>
      </c>
      <c r="G12" s="2">
        <v>4923</v>
      </c>
      <c r="H12" s="2">
        <f t="shared" si="0"/>
        <v>49230000</v>
      </c>
      <c r="I12" s="2">
        <f t="shared" si="2"/>
        <v>8177740.8637873763</v>
      </c>
      <c r="J12" s="12">
        <f t="shared" si="3"/>
        <v>5915703.2524437318</v>
      </c>
      <c r="K12" s="16">
        <f t="shared" si="4"/>
        <v>1676828.7184674048</v>
      </c>
      <c r="L12" s="16">
        <f t="shared" si="1"/>
        <v>903376.32587310195</v>
      </c>
      <c r="M12" s="16">
        <f t="shared" si="1"/>
        <v>3335498.2081032251</v>
      </c>
      <c r="N12" s="14"/>
      <c r="O12" s="1"/>
      <c r="P12" s="1"/>
      <c r="Q12" s="1"/>
      <c r="R12" s="1"/>
      <c r="S12" s="1"/>
      <c r="T12" s="1"/>
      <c r="U12" s="1"/>
      <c r="V12" s="19">
        <f t="shared" si="5"/>
        <v>7098843.9029324781</v>
      </c>
    </row>
    <row r="13" spans="1:22" ht="16" x14ac:dyDescent="0.5">
      <c r="A13">
        <v>1975</v>
      </c>
      <c r="B13">
        <v>61.2</v>
      </c>
      <c r="C13">
        <v>30.7</v>
      </c>
      <c r="D13">
        <v>6.2</v>
      </c>
      <c r="E13">
        <v>16.7</v>
      </c>
      <c r="F13" s="2">
        <v>21537849</v>
      </c>
      <c r="G13" s="2">
        <v>4704</v>
      </c>
      <c r="H13" s="2">
        <f t="shared" si="0"/>
        <v>47040000</v>
      </c>
      <c r="I13" s="2">
        <f t="shared" si="2"/>
        <v>7813953.488372094</v>
      </c>
      <c r="J13" s="12">
        <f t="shared" si="3"/>
        <v>5168576.47340432</v>
      </c>
      <c r="K13" s="16">
        <f t="shared" si="4"/>
        <v>1591597.942155279</v>
      </c>
      <c r="L13" s="16">
        <f t="shared" si="1"/>
        <v>904319.78635315096</v>
      </c>
      <c r="M13" s="16">
        <f t="shared" si="1"/>
        <v>2672658.7448958894</v>
      </c>
      <c r="N13" s="14"/>
      <c r="V13" s="19">
        <f t="shared" si="5"/>
        <v>6202291.7680851836</v>
      </c>
    </row>
    <row r="14" spans="1:22" ht="16" x14ac:dyDescent="0.5">
      <c r="A14">
        <v>1976</v>
      </c>
      <c r="B14">
        <v>65.3</v>
      </c>
      <c r="C14">
        <v>32.200000000000003</v>
      </c>
      <c r="D14">
        <v>7.2</v>
      </c>
      <c r="E14">
        <v>18.600000000000001</v>
      </c>
      <c r="F14" s="2">
        <v>21935909</v>
      </c>
      <c r="G14" s="2">
        <v>4334</v>
      </c>
      <c r="H14" s="2">
        <f t="shared" si="0"/>
        <v>43340000</v>
      </c>
      <c r="I14" s="2">
        <f t="shared" si="2"/>
        <v>7199335.548172758</v>
      </c>
      <c r="J14" s="12">
        <f t="shared" si="3"/>
        <v>5801552.7056536153</v>
      </c>
      <c r="K14" s="16">
        <f t="shared" si="4"/>
        <v>1700216.290964226</v>
      </c>
      <c r="L14" s="16">
        <f t="shared" si="1"/>
        <v>1069587.0796842757</v>
      </c>
      <c r="M14" s="16">
        <f t="shared" si="1"/>
        <v>3031749.3350051139</v>
      </c>
      <c r="N14" s="14"/>
      <c r="V14" s="19">
        <f t="shared" si="5"/>
        <v>6961863.2467843378</v>
      </c>
    </row>
    <row r="15" spans="1:22" ht="16" x14ac:dyDescent="0.5">
      <c r="A15">
        <v>1977</v>
      </c>
      <c r="B15">
        <v>69.7</v>
      </c>
      <c r="C15">
        <v>35.799999999999997</v>
      </c>
      <c r="D15">
        <v>7.6</v>
      </c>
      <c r="E15">
        <v>18.100000000000001</v>
      </c>
      <c r="F15" s="2">
        <v>22352396</v>
      </c>
      <c r="G15" s="2">
        <v>4731</v>
      </c>
      <c r="H15" s="2">
        <f t="shared" si="0"/>
        <v>47310000</v>
      </c>
      <c r="I15" s="2">
        <f t="shared" si="2"/>
        <v>7858803.9867109638</v>
      </c>
      <c r="J15" s="12">
        <f t="shared" si="3"/>
        <v>6082903.1868644655</v>
      </c>
      <c r="K15" s="16">
        <f t="shared" si="4"/>
        <v>1926192.888816528</v>
      </c>
      <c r="L15" s="16">
        <f t="shared" si="1"/>
        <v>1150444.55005044</v>
      </c>
      <c r="M15" s="16">
        <f t="shared" si="1"/>
        <v>3006265.7479974967</v>
      </c>
      <c r="N15" s="14"/>
      <c r="V15" s="19">
        <f t="shared" si="5"/>
        <v>7299483.8242373588</v>
      </c>
    </row>
    <row r="16" spans="1:22" ht="16" x14ac:dyDescent="0.5">
      <c r="A16">
        <v>1978</v>
      </c>
      <c r="B16">
        <v>73.900000000000006</v>
      </c>
      <c r="C16">
        <v>36.9</v>
      </c>
      <c r="D16">
        <v>7.8</v>
      </c>
      <c r="E16">
        <v>19.100000000000001</v>
      </c>
      <c r="F16" s="2">
        <v>22835958</v>
      </c>
      <c r="G16" s="2">
        <v>4787</v>
      </c>
      <c r="H16" s="2">
        <f t="shared" si="0"/>
        <v>47870000</v>
      </c>
      <c r="I16" s="2">
        <f t="shared" si="2"/>
        <v>7951827.2425249172</v>
      </c>
      <c r="J16" s="12">
        <f t="shared" si="3"/>
        <v>6475578.1413809219</v>
      </c>
      <c r="K16" s="16">
        <f t="shared" si="4"/>
        <v>2028328.3805394801</v>
      </c>
      <c r="L16" s="16">
        <f t="shared" si="1"/>
        <v>1206262.5760390039</v>
      </c>
      <c r="M16" s="16">
        <f t="shared" si="1"/>
        <v>3240987.1848024381</v>
      </c>
      <c r="N16" s="14"/>
      <c r="V16" s="19">
        <f t="shared" si="5"/>
        <v>7770693.7696571061</v>
      </c>
    </row>
    <row r="17" spans="1:22" ht="16" x14ac:dyDescent="0.5">
      <c r="A17">
        <v>1979</v>
      </c>
      <c r="B17">
        <v>74.7</v>
      </c>
      <c r="C17">
        <v>35.4</v>
      </c>
      <c r="D17">
        <v>7.3</v>
      </c>
      <c r="E17">
        <v>20.3</v>
      </c>
      <c r="F17" s="2">
        <v>23256880</v>
      </c>
      <c r="G17" s="2">
        <v>4664</v>
      </c>
      <c r="H17" s="2">
        <f t="shared" si="0"/>
        <v>46640000</v>
      </c>
      <c r="I17" s="2">
        <f t="shared" si="2"/>
        <v>7747508.3056478407</v>
      </c>
      <c r="J17" s="12">
        <f t="shared" si="3"/>
        <v>6639592.2361110849</v>
      </c>
      <c r="K17" s="16">
        <f t="shared" si="4"/>
        <v>1981743.2138272489</v>
      </c>
      <c r="L17" s="16">
        <f t="shared" si="1"/>
        <v>1149747.1137957689</v>
      </c>
      <c r="M17" s="16">
        <f t="shared" si="1"/>
        <v>3508101.9084880669</v>
      </c>
      <c r="N17" s="14"/>
      <c r="V17" s="19">
        <f t="shared" si="5"/>
        <v>7967510.6833333019</v>
      </c>
    </row>
    <row r="18" spans="1:22" ht="16" x14ac:dyDescent="0.5">
      <c r="A18">
        <v>1980</v>
      </c>
      <c r="B18">
        <v>68.599999999999994</v>
      </c>
      <c r="C18">
        <v>29.6</v>
      </c>
      <c r="D18">
        <v>5.8</v>
      </c>
      <c r="E18">
        <v>19.8</v>
      </c>
      <c r="F18" s="2">
        <v>23800800</v>
      </c>
      <c r="G18" s="2">
        <v>4084</v>
      </c>
      <c r="H18" s="2">
        <f t="shared" si="0"/>
        <v>40840000</v>
      </c>
      <c r="I18" s="2">
        <f t="shared" si="2"/>
        <v>6784053.1561461799</v>
      </c>
      <c r="J18" s="12">
        <f t="shared" si="3"/>
        <v>6132387.521103628</v>
      </c>
      <c r="K18" s="16">
        <f t="shared" si="4"/>
        <v>1695805.0789596417</v>
      </c>
      <c r="L18" s="16">
        <f t="shared" si="1"/>
        <v>934862.1234331337</v>
      </c>
      <c r="M18" s="16">
        <f t="shared" si="1"/>
        <v>3501720.3187108529</v>
      </c>
      <c r="N18" s="14"/>
      <c r="V18" s="19">
        <f t="shared" si="5"/>
        <v>7358865.025324353</v>
      </c>
    </row>
    <row r="19" spans="1:22" ht="16" x14ac:dyDescent="0.5">
      <c r="A19">
        <v>1981</v>
      </c>
      <c r="B19">
        <v>66.5</v>
      </c>
      <c r="C19">
        <v>27.2</v>
      </c>
      <c r="D19">
        <v>5.7</v>
      </c>
      <c r="E19">
        <v>19.5</v>
      </c>
      <c r="F19" s="2">
        <v>24285933</v>
      </c>
      <c r="G19" s="2">
        <v>3441</v>
      </c>
      <c r="H19" s="2">
        <f t="shared" si="0"/>
        <v>34410000</v>
      </c>
      <c r="I19" s="2">
        <f t="shared" si="2"/>
        <v>5715946.843853821</v>
      </c>
      <c r="J19" s="12">
        <f t="shared" si="3"/>
        <v>6046499.3046461176</v>
      </c>
      <c r="K19" s="16">
        <f t="shared" si="4"/>
        <v>1590070.4336702984</v>
      </c>
      <c r="L19" s="16">
        <f t="shared" si="1"/>
        <v>937470.61599369918</v>
      </c>
      <c r="M19" s="16">
        <f t="shared" si="1"/>
        <v>3518958.2549821199</v>
      </c>
      <c r="N19" s="14"/>
      <c r="V19" s="19">
        <f t="shared" si="5"/>
        <v>7255799.1655753413</v>
      </c>
    </row>
    <row r="20" spans="1:22" ht="16" x14ac:dyDescent="0.5">
      <c r="A20">
        <v>1982</v>
      </c>
      <c r="B20">
        <v>68.2</v>
      </c>
      <c r="C20">
        <v>27</v>
      </c>
      <c r="D20">
        <v>5.6</v>
      </c>
      <c r="E20">
        <v>18.5</v>
      </c>
      <c r="F20" s="2">
        <v>24820009</v>
      </c>
      <c r="G20" s="2">
        <v>2859</v>
      </c>
      <c r="H20" s="2">
        <f t="shared" si="0"/>
        <v>28590000</v>
      </c>
      <c r="I20" s="2">
        <f t="shared" si="2"/>
        <v>4749169.4352159472</v>
      </c>
      <c r="J20" s="12">
        <f t="shared" si="3"/>
        <v>5966283.6213994194</v>
      </c>
      <c r="K20" s="16">
        <f t="shared" si="4"/>
        <v>1613089.1292074563</v>
      </c>
      <c r="L20" s="16">
        <f t="shared" si="1"/>
        <v>941278.15014961211</v>
      </c>
      <c r="M20" s="16">
        <f t="shared" si="1"/>
        <v>3411916.3420423507</v>
      </c>
      <c r="N20" s="14"/>
      <c r="V20" s="19">
        <f t="shared" si="5"/>
        <v>7159540.3456793027</v>
      </c>
    </row>
    <row r="21" spans="1:22" ht="16" x14ac:dyDescent="0.5">
      <c r="A21">
        <v>1983</v>
      </c>
      <c r="B21">
        <v>75.5</v>
      </c>
      <c r="C21">
        <v>32.6</v>
      </c>
      <c r="D21">
        <v>6.9</v>
      </c>
      <c r="E21">
        <v>19.600000000000001</v>
      </c>
      <c r="F21" s="2">
        <v>25360026</v>
      </c>
      <c r="G21" s="2">
        <v>2497</v>
      </c>
      <c r="H21" s="2">
        <f t="shared" si="0"/>
        <v>24970000</v>
      </c>
      <c r="I21" s="2">
        <f t="shared" si="2"/>
        <v>4147840.5315614622</v>
      </c>
      <c r="J21" s="12">
        <f t="shared" si="3"/>
        <v>6868489.7409344651</v>
      </c>
      <c r="K21" s="16">
        <f t="shared" si="4"/>
        <v>1990031.5426644234</v>
      </c>
      <c r="L21" s="16">
        <f t="shared" si="1"/>
        <v>1185023.0586358763</v>
      </c>
      <c r="M21" s="16">
        <f t="shared" si="1"/>
        <v>3693435.1396341659</v>
      </c>
      <c r="N21" s="14"/>
      <c r="V21" s="19">
        <f t="shared" si="5"/>
        <v>8242187.6891213581</v>
      </c>
    </row>
    <row r="22" spans="1:22" ht="16" x14ac:dyDescent="0.5">
      <c r="A22">
        <v>1984</v>
      </c>
      <c r="B22">
        <v>79.400000000000006</v>
      </c>
      <c r="C22">
        <v>34.799999999999997</v>
      </c>
      <c r="D22">
        <v>6.9</v>
      </c>
      <c r="E22">
        <v>20.5</v>
      </c>
      <c r="F22" s="2">
        <v>25844393</v>
      </c>
      <c r="G22" s="2">
        <v>3648</v>
      </c>
      <c r="H22" s="2">
        <f t="shared" si="0"/>
        <v>36480000</v>
      </c>
      <c r="I22" s="2">
        <f t="shared" si="2"/>
        <v>6059800.6644518273</v>
      </c>
      <c r="J22" s="12">
        <f t="shared" si="3"/>
        <v>7309372.6863897368</v>
      </c>
      <c r="K22" s="16">
        <f t="shared" si="4"/>
        <v>2164902.0220002392</v>
      </c>
      <c r="L22" s="16">
        <f t="shared" si="1"/>
        <v>1207656.5552987852</v>
      </c>
      <c r="M22" s="16">
        <f t="shared" si="1"/>
        <v>3936814.1090907119</v>
      </c>
      <c r="N22" s="14"/>
      <c r="V22" s="19">
        <f t="shared" si="5"/>
        <v>8771247.2236676831</v>
      </c>
    </row>
    <row r="23" spans="1:22" ht="16" x14ac:dyDescent="0.5">
      <c r="A23">
        <v>1985</v>
      </c>
      <c r="B23">
        <v>79.2</v>
      </c>
      <c r="C23">
        <v>35.1</v>
      </c>
      <c r="D23">
        <v>6.9</v>
      </c>
      <c r="E23">
        <v>20.7</v>
      </c>
      <c r="F23" s="2">
        <v>26441109</v>
      </c>
      <c r="G23" s="2">
        <v>3714</v>
      </c>
      <c r="H23" s="2">
        <f t="shared" si="0"/>
        <v>37140000</v>
      </c>
      <c r="I23" s="2">
        <f t="shared" si="2"/>
        <v>6169435.2159468438</v>
      </c>
      <c r="J23" s="12">
        <f t="shared" si="3"/>
        <v>7536525.9138387591</v>
      </c>
      <c r="K23" s="16">
        <f t="shared" si="4"/>
        <v>2233980.8635732676</v>
      </c>
      <c r="L23" s="16">
        <f t="shared" si="1"/>
        <v>1235539.8949868821</v>
      </c>
      <c r="M23" s="16">
        <f t="shared" si="1"/>
        <v>4067005.1552786096</v>
      </c>
      <c r="N23" s="14"/>
      <c r="V23" s="19">
        <f t="shared" si="5"/>
        <v>9043831.0966065098</v>
      </c>
    </row>
    <row r="24" spans="1:22" ht="16" x14ac:dyDescent="0.5">
      <c r="A24">
        <v>1986</v>
      </c>
      <c r="B24">
        <v>83.1</v>
      </c>
      <c r="C24">
        <v>37</v>
      </c>
      <c r="D24">
        <v>7.3</v>
      </c>
      <c r="E24">
        <v>22.2</v>
      </c>
      <c r="F24" s="2">
        <v>27102237</v>
      </c>
      <c r="G24" s="2">
        <v>4056</v>
      </c>
      <c r="H24" s="2">
        <f t="shared" si="0"/>
        <v>40560000</v>
      </c>
      <c r="I24" s="2">
        <f t="shared" si="2"/>
        <v>6737541.5282392027</v>
      </c>
      <c r="J24" s="12">
        <f t="shared" si="3"/>
        <v>8224414.8437039526</v>
      </c>
      <c r="K24" s="16">
        <f t="shared" si="4"/>
        <v>2413790.2484248388</v>
      </c>
      <c r="L24" s="16">
        <f t="shared" si="1"/>
        <v>1339849.4883302874</v>
      </c>
      <c r="M24" s="16">
        <f t="shared" si="1"/>
        <v>4470775.1069488265</v>
      </c>
      <c r="N24" s="14"/>
      <c r="V24" s="19">
        <f t="shared" si="5"/>
        <v>9869297.8124447428</v>
      </c>
    </row>
    <row r="25" spans="1:22" ht="16" x14ac:dyDescent="0.5">
      <c r="A25">
        <v>1987</v>
      </c>
      <c r="B25">
        <v>82.7</v>
      </c>
      <c r="C25">
        <v>38.6</v>
      </c>
      <c r="D25">
        <v>7.5</v>
      </c>
      <c r="E25">
        <v>22.5</v>
      </c>
      <c r="F25" s="2">
        <v>27777158</v>
      </c>
      <c r="G25" s="2">
        <v>4359</v>
      </c>
      <c r="H25" s="2">
        <f t="shared" si="0"/>
        <v>43590000</v>
      </c>
      <c r="I25" s="2">
        <f t="shared" si="2"/>
        <v>7240863.7873754157</v>
      </c>
      <c r="J25" s="12">
        <f t="shared" si="3"/>
        <v>8635747.8417252414</v>
      </c>
      <c r="K25" s="16">
        <f t="shared" si="4"/>
        <v>2580879.8057050994</v>
      </c>
      <c r="L25" s="16">
        <f t="shared" si="1"/>
        <v>1410837.8045763492</v>
      </c>
      <c r="M25" s="16">
        <f t="shared" si="1"/>
        <v>4644030.2314437917</v>
      </c>
      <c r="N25" s="14"/>
      <c r="V25" s="19">
        <f t="shared" si="5"/>
        <v>10362897.410070289</v>
      </c>
    </row>
    <row r="26" spans="1:22" ht="16" x14ac:dyDescent="0.5">
      <c r="A26">
        <v>1988</v>
      </c>
      <c r="B26">
        <v>80.400000000000006</v>
      </c>
      <c r="C26">
        <v>36.799999999999997</v>
      </c>
      <c r="D26">
        <v>7.1</v>
      </c>
      <c r="E26">
        <v>22.6</v>
      </c>
      <c r="F26" s="2">
        <v>28464249</v>
      </c>
      <c r="G26" s="2">
        <v>4649</v>
      </c>
      <c r="H26" s="2">
        <f t="shared" si="0"/>
        <v>46490000</v>
      </c>
      <c r="I26" s="2">
        <f t="shared" si="2"/>
        <v>7722591.3621262461</v>
      </c>
      <c r="J26" s="12">
        <f t="shared" si="3"/>
        <v>8670076.0647880062</v>
      </c>
      <c r="K26" s="16">
        <f t="shared" si="4"/>
        <v>2521391.0923011303</v>
      </c>
      <c r="L26" s="16">
        <f t="shared" si="1"/>
        <v>1368630.1232752907</v>
      </c>
      <c r="M26" s="16">
        <f t="shared" si="1"/>
        <v>4780054.8492115857</v>
      </c>
      <c r="N26" s="14"/>
      <c r="V26" s="19">
        <f t="shared" si="5"/>
        <v>10404091.277745606</v>
      </c>
    </row>
    <row r="27" spans="1:22" ht="16" x14ac:dyDescent="0.5">
      <c r="A27">
        <v>1989</v>
      </c>
      <c r="B27">
        <v>79.099999999999994</v>
      </c>
      <c r="C27">
        <v>36.9</v>
      </c>
      <c r="D27">
        <v>5.9</v>
      </c>
      <c r="E27">
        <v>22.5</v>
      </c>
      <c r="F27" s="2">
        <v>29218164</v>
      </c>
      <c r="G27" s="2">
        <v>4840</v>
      </c>
      <c r="H27" s="2">
        <f t="shared" si="0"/>
        <v>48400000</v>
      </c>
      <c r="I27" s="2">
        <f t="shared" si="2"/>
        <v>8039867.1096345522</v>
      </c>
      <c r="J27" s="12">
        <f t="shared" si="3"/>
        <v>8647592.6717162039</v>
      </c>
      <c r="K27" s="16">
        <f t="shared" si="4"/>
        <v>2595206.7028874788</v>
      </c>
      <c r="L27" s="16">
        <f t="shared" si="1"/>
        <v>1167435.6465789585</v>
      </c>
      <c r="M27" s="16">
        <f t="shared" si="1"/>
        <v>4884950.3222497664</v>
      </c>
      <c r="N27" s="14"/>
      <c r="V27" s="19">
        <f t="shared" si="5"/>
        <v>10377111.206059445</v>
      </c>
    </row>
    <row r="28" spans="1:22" ht="16" x14ac:dyDescent="0.5">
      <c r="A28">
        <v>1990</v>
      </c>
      <c r="B28">
        <v>76.400000000000006</v>
      </c>
      <c r="C28">
        <v>34.1</v>
      </c>
      <c r="D28">
        <v>5.6</v>
      </c>
      <c r="E28">
        <v>22.8</v>
      </c>
      <c r="F28" s="2">
        <v>29950111</v>
      </c>
      <c r="G28" s="2">
        <v>4722</v>
      </c>
      <c r="H28" s="2">
        <f t="shared" si="0"/>
        <v>47220000</v>
      </c>
      <c r="I28" s="2">
        <f t="shared" si="2"/>
        <v>7843853.8205980072</v>
      </c>
      <c r="J28" s="12">
        <f t="shared" si="3"/>
        <v>8668280.9841783307</v>
      </c>
      <c r="K28" s="16">
        <f t="shared" si="4"/>
        <v>2458360.0002031098</v>
      </c>
      <c r="L28" s="16">
        <f t="shared" si="1"/>
        <v>1135832.9917952709</v>
      </c>
      <c r="M28" s="16">
        <f t="shared" si="1"/>
        <v>5074087.9921799507</v>
      </c>
      <c r="N28" s="14"/>
      <c r="V28" s="19">
        <f t="shared" si="5"/>
        <v>10401937.181013996</v>
      </c>
    </row>
    <row r="29" spans="1:22" ht="16" x14ac:dyDescent="0.5">
      <c r="A29">
        <v>1991</v>
      </c>
      <c r="B29">
        <v>76.3</v>
      </c>
      <c r="C29">
        <v>32.5</v>
      </c>
      <c r="D29">
        <v>5</v>
      </c>
      <c r="E29">
        <v>22.2</v>
      </c>
      <c r="F29" s="2">
        <v>30414114</v>
      </c>
      <c r="G29" s="2">
        <v>4251</v>
      </c>
      <c r="H29" s="2">
        <f t="shared" si="0"/>
        <v>42510000</v>
      </c>
      <c r="I29" s="2">
        <f t="shared" si="2"/>
        <v>7061461.7940199338</v>
      </c>
      <c r="J29" s="12">
        <f t="shared" si="3"/>
        <v>8426260.1782492884</v>
      </c>
      <c r="K29" s="16">
        <f t="shared" si="4"/>
        <v>2379310.9104566639</v>
      </c>
      <c r="L29" s="16">
        <f t="shared" si="1"/>
        <v>1029848.1417452138</v>
      </c>
      <c r="M29" s="16">
        <f t="shared" si="1"/>
        <v>5017101.1260474101</v>
      </c>
      <c r="N29" s="14"/>
      <c r="V29" s="19">
        <f t="shared" si="5"/>
        <v>10111512.213899145</v>
      </c>
    </row>
    <row r="30" spans="1:22" ht="16" x14ac:dyDescent="0.5">
      <c r="A30">
        <v>1992</v>
      </c>
      <c r="B30">
        <v>73.599999999999994</v>
      </c>
      <c r="C30">
        <v>32.9</v>
      </c>
      <c r="D30">
        <v>5</v>
      </c>
      <c r="E30">
        <v>22.3</v>
      </c>
      <c r="F30" s="2">
        <v>30875920</v>
      </c>
      <c r="G30" s="2">
        <v>3474</v>
      </c>
      <c r="H30" s="2">
        <f t="shared" si="0"/>
        <v>34740000</v>
      </c>
      <c r="I30" s="2">
        <f t="shared" si="2"/>
        <v>5770764.1196013289</v>
      </c>
      <c r="J30" s="12">
        <f t="shared" si="3"/>
        <v>8606875.1596855372</v>
      </c>
      <c r="K30" s="16">
        <f t="shared" si="4"/>
        <v>2445166.6885144543</v>
      </c>
      <c r="L30" s="16">
        <f t="shared" si="1"/>
        <v>1045485.2913576205</v>
      </c>
      <c r="M30" s="16">
        <f t="shared" si="1"/>
        <v>5116223.1798134632</v>
      </c>
      <c r="N30" s="14"/>
      <c r="V30" s="19">
        <f t="shared" si="5"/>
        <v>10328250.191622645</v>
      </c>
    </row>
    <row r="31" spans="1:22" ht="16" x14ac:dyDescent="0.5">
      <c r="A31">
        <v>1993</v>
      </c>
      <c r="B31">
        <v>72.2</v>
      </c>
      <c r="C31">
        <v>33.4</v>
      </c>
      <c r="D31">
        <v>5</v>
      </c>
      <c r="E31">
        <v>22.3</v>
      </c>
      <c r="F31" s="2">
        <v>31147208</v>
      </c>
      <c r="G31" s="2">
        <v>3214</v>
      </c>
      <c r="H31" s="2">
        <f t="shared" si="0"/>
        <v>32140000</v>
      </c>
      <c r="I31" s="2">
        <f t="shared" si="2"/>
        <v>5338870.4318936877</v>
      </c>
      <c r="J31" s="12">
        <f t="shared" si="3"/>
        <v>8719985.6519807167</v>
      </c>
      <c r="K31" s="16">
        <f t="shared" si="4"/>
        <v>2504137.9821160529</v>
      </c>
      <c r="L31" s="16">
        <f t="shared" si="1"/>
        <v>1054671.3371085429</v>
      </c>
      <c r="M31" s="16">
        <f t="shared" si="1"/>
        <v>5161176.3327561198</v>
      </c>
      <c r="N31" s="14"/>
      <c r="V31" s="19">
        <f t="shared" si="5"/>
        <v>10463982.782376859</v>
      </c>
    </row>
    <row r="32" spans="1:22" ht="16" x14ac:dyDescent="0.5">
      <c r="A32">
        <v>1994</v>
      </c>
      <c r="B32">
        <v>72.3</v>
      </c>
      <c r="C32">
        <v>34.6</v>
      </c>
      <c r="D32">
        <v>5.0999999999999996</v>
      </c>
      <c r="E32">
        <v>22.7</v>
      </c>
      <c r="F32" s="2">
        <v>31317179</v>
      </c>
      <c r="G32" s="2">
        <v>3057</v>
      </c>
      <c r="H32" s="2">
        <f t="shared" si="0"/>
        <v>30570000</v>
      </c>
      <c r="I32" s="2">
        <f t="shared" si="2"/>
        <v>5078073.0897009969</v>
      </c>
      <c r="J32" s="12">
        <f t="shared" si="3"/>
        <v>8972321.6815476865</v>
      </c>
      <c r="K32" s="16">
        <f t="shared" si="4"/>
        <v>2608263.1105040261</v>
      </c>
      <c r="L32" s="16">
        <f t="shared" si="1"/>
        <v>1081635.235858236</v>
      </c>
      <c r="M32" s="16">
        <f t="shared" si="1"/>
        <v>5282423.3351854254</v>
      </c>
      <c r="N32" s="14"/>
      <c r="V32" s="19">
        <f t="shared" si="5"/>
        <v>10766786.017857224</v>
      </c>
    </row>
    <row r="33" spans="1:22" ht="16" x14ac:dyDescent="0.5">
      <c r="A33">
        <v>1995</v>
      </c>
      <c r="B33">
        <v>73.099999999999994</v>
      </c>
      <c r="C33">
        <v>34</v>
      </c>
      <c r="D33">
        <v>5</v>
      </c>
      <c r="E33">
        <v>24.4</v>
      </c>
      <c r="F33" s="2">
        <v>31493525</v>
      </c>
      <c r="G33" s="2">
        <v>2839</v>
      </c>
      <c r="H33" s="2">
        <f t="shared" si="0"/>
        <v>28390000</v>
      </c>
      <c r="I33" s="2">
        <f t="shared" si="2"/>
        <v>4715946.843853821</v>
      </c>
      <c r="J33" s="12">
        <f t="shared" si="3"/>
        <v>9353859.4809841085</v>
      </c>
      <c r="K33" s="16">
        <f t="shared" si="4"/>
        <v>2577465.4691337356</v>
      </c>
      <c r="L33" s="16">
        <f t="shared" si="1"/>
        <v>1066397.9295354926</v>
      </c>
      <c r="M33" s="16">
        <f t="shared" si="1"/>
        <v>5709996.0823148806</v>
      </c>
      <c r="N33" s="14"/>
      <c r="V33" s="19">
        <f t="shared" si="5"/>
        <v>11224631.37718093</v>
      </c>
    </row>
    <row r="34" spans="1:22" ht="16" x14ac:dyDescent="0.5">
      <c r="A34">
        <v>1996</v>
      </c>
      <c r="B34">
        <v>71.2</v>
      </c>
      <c r="C34">
        <v>34.6</v>
      </c>
      <c r="D34">
        <v>4.9000000000000004</v>
      </c>
      <c r="E34">
        <v>23.2</v>
      </c>
      <c r="F34" s="2">
        <v>31780829</v>
      </c>
      <c r="G34" s="2">
        <v>2535</v>
      </c>
      <c r="H34" s="2">
        <f t="shared" si="0"/>
        <v>25350000</v>
      </c>
      <c r="I34" s="2">
        <f t="shared" si="2"/>
        <v>4210963.4551495016</v>
      </c>
      <c r="J34" s="12">
        <f t="shared" si="3"/>
        <v>9180187.1521815136</v>
      </c>
      <c r="K34" s="16">
        <f t="shared" si="4"/>
        <v>2646878.3763038348</v>
      </c>
      <c r="L34" s="16">
        <f t="shared" si="1"/>
        <v>1054603.7650479302</v>
      </c>
      <c r="M34" s="16">
        <f t="shared" si="1"/>
        <v>5478705.0108297495</v>
      </c>
      <c r="N34" s="14"/>
      <c r="V34" s="19">
        <f t="shared" si="5"/>
        <v>11016224.582617816</v>
      </c>
    </row>
    <row r="35" spans="1:22" ht="16" x14ac:dyDescent="0.5">
      <c r="A35">
        <v>1997</v>
      </c>
      <c r="B35">
        <v>71.3</v>
      </c>
      <c r="C35">
        <v>35.200000000000003</v>
      </c>
      <c r="D35">
        <v>4.5999999999999996</v>
      </c>
      <c r="E35">
        <v>24</v>
      </c>
      <c r="F35" s="2">
        <v>32217708</v>
      </c>
      <c r="G35" s="2">
        <v>2523</v>
      </c>
      <c r="H35" s="2">
        <f t="shared" si="0"/>
        <v>25230000</v>
      </c>
      <c r="I35" s="2">
        <f t="shared" si="2"/>
        <v>4191029.9003322264</v>
      </c>
      <c r="J35" s="12">
        <f t="shared" si="3"/>
        <v>9478977.0145797003</v>
      </c>
      <c r="K35" s="16">
        <f t="shared" si="4"/>
        <v>2729794.5989879314</v>
      </c>
      <c r="L35" s="16">
        <f t="shared" si="1"/>
        <v>1003645.8394902679</v>
      </c>
      <c r="M35" s="16">
        <f t="shared" si="1"/>
        <v>5745536.5761015005</v>
      </c>
      <c r="N35" s="14"/>
      <c r="V35" s="19">
        <f t="shared" si="5"/>
        <v>11374772.41749564</v>
      </c>
    </row>
    <row r="36" spans="1:22" ht="16" x14ac:dyDescent="0.5">
      <c r="A36">
        <v>1998</v>
      </c>
      <c r="B36">
        <v>72.099999999999994</v>
      </c>
      <c r="C36">
        <v>35.700000000000003</v>
      </c>
      <c r="D36">
        <v>4.7</v>
      </c>
      <c r="E36">
        <v>24.5</v>
      </c>
      <c r="F36" s="2">
        <v>32682794</v>
      </c>
      <c r="G36" s="2">
        <v>2658</v>
      </c>
      <c r="H36" s="2">
        <f t="shared" si="0"/>
        <v>26580000</v>
      </c>
      <c r="I36" s="2">
        <f t="shared" si="2"/>
        <v>4415282.3920265781</v>
      </c>
      <c r="J36" s="12">
        <f t="shared" si="3"/>
        <v>9798708.139925655</v>
      </c>
      <c r="K36" s="16">
        <f t="shared" si="4"/>
        <v>2808536.4092556112</v>
      </c>
      <c r="L36" s="16">
        <f t="shared" si="1"/>
        <v>1040267.5477531626</v>
      </c>
      <c r="M36" s="16">
        <f t="shared" si="1"/>
        <v>5949904.1829168806</v>
      </c>
      <c r="N36" s="14"/>
      <c r="V36" s="19">
        <f t="shared" si="5"/>
        <v>11758449.767910786</v>
      </c>
    </row>
    <row r="37" spans="1:22" ht="16" x14ac:dyDescent="0.5">
      <c r="A37">
        <v>1999</v>
      </c>
      <c r="B37">
        <v>71.900000000000006</v>
      </c>
      <c r="C37">
        <v>36.6</v>
      </c>
      <c r="D37">
        <v>4.8</v>
      </c>
      <c r="E37">
        <v>23.5</v>
      </c>
      <c r="F37" s="2">
        <v>33145121</v>
      </c>
      <c r="G37" s="2">
        <v>2336</v>
      </c>
      <c r="H37" s="2">
        <f t="shared" si="0"/>
        <v>23360000</v>
      </c>
      <c r="I37" s="2">
        <f t="shared" si="2"/>
        <v>3880398.6710963459</v>
      </c>
      <c r="J37" s="12">
        <f t="shared" si="3"/>
        <v>9785282.3832966238</v>
      </c>
      <c r="K37" s="16">
        <f t="shared" si="4"/>
        <v>2920070.6545122191</v>
      </c>
      <c r="L37" s="16">
        <f t="shared" si="1"/>
        <v>1077429.4993100718</v>
      </c>
      <c r="M37" s="16">
        <f t="shared" si="1"/>
        <v>5787782.2294743331</v>
      </c>
      <c r="N37" s="14"/>
      <c r="V37" s="19">
        <f t="shared" si="5"/>
        <v>11742338.859955948</v>
      </c>
    </row>
    <row r="38" spans="1:22" ht="16.5" thickBot="1" x14ac:dyDescent="0.55000000000000004">
      <c r="A38">
        <v>2000</v>
      </c>
      <c r="B38">
        <v>69.7</v>
      </c>
      <c r="C38">
        <v>35.1</v>
      </c>
      <c r="D38">
        <v>4.5999999999999996</v>
      </c>
      <c r="E38">
        <v>23.2</v>
      </c>
      <c r="F38" s="2">
        <v>33987977</v>
      </c>
      <c r="G38" s="2">
        <v>2378</v>
      </c>
      <c r="H38" s="2">
        <f>G38*10000</f>
        <v>23780000</v>
      </c>
      <c r="I38" s="2">
        <f t="shared" si="2"/>
        <v>3950166.1129568107</v>
      </c>
      <c r="J38" s="12">
        <f t="shared" si="3"/>
        <v>9789596.676232297</v>
      </c>
      <c r="K38" s="16">
        <f t="shared" si="4"/>
        <v>2871607.6246865573</v>
      </c>
      <c r="L38" s="16">
        <f>(D38*$F38/100)*T$56</f>
        <v>1058793.2483819432</v>
      </c>
      <c r="M38" s="16">
        <f>(E38*$F38/100)*U$56</f>
        <v>5859195.8031637967</v>
      </c>
      <c r="N38" s="14"/>
      <c r="V38" s="19">
        <f t="shared" si="5"/>
        <v>11747516.011478756</v>
      </c>
    </row>
    <row r="39" spans="1:22" ht="15" thickBot="1" x14ac:dyDescent="0.4">
      <c r="A39">
        <v>2001</v>
      </c>
      <c r="B39">
        <v>67.599999999999994</v>
      </c>
      <c r="C39">
        <v>34.1</v>
      </c>
      <c r="D39">
        <v>4.3</v>
      </c>
      <c r="E39">
        <v>22.4</v>
      </c>
      <c r="F39" s="2">
        <v>34479458</v>
      </c>
      <c r="G39" s="2">
        <v>2112</v>
      </c>
      <c r="H39" s="2">
        <f t="shared" si="0"/>
        <v>21120000</v>
      </c>
      <c r="I39" s="2">
        <f t="shared" si="2"/>
        <v>3508305.647840532</v>
      </c>
      <c r="J39" s="2">
        <f>(B39*$F39/100)</f>
        <v>23308113.607999995</v>
      </c>
      <c r="K39" s="2">
        <f>(C39*$F39/83.33)</f>
        <v>14109558.595943838</v>
      </c>
      <c r="L39" s="2">
        <f>(D39*$F39/83.33)</f>
        <v>1779211.20124805</v>
      </c>
      <c r="M39" s="13">
        <f>(E39*F39)/83.33</f>
        <v>9268449.0483619347</v>
      </c>
      <c r="N39" s="1">
        <f>SUM(O39:Q39)</f>
        <v>12695797.912142988</v>
      </c>
      <c r="O39" s="21">
        <v>2807493.2043941254</v>
      </c>
      <c r="P39" s="22">
        <v>1087158.2760130155</v>
      </c>
      <c r="Q39" s="22">
        <v>8801146.4317358471</v>
      </c>
      <c r="R39" s="3">
        <f>N39/J39</f>
        <v>0.54469435517876641</v>
      </c>
      <c r="S39" s="3">
        <f>O39/K39</f>
        <v>0.19897810305711566</v>
      </c>
      <c r="T39" s="3">
        <f t="shared" ref="T39:U54" si="6">P39/L39</f>
        <v>0.61103385323249693</v>
      </c>
      <c r="U39" s="3">
        <f>Q39/M39</f>
        <v>0.94958135776679087</v>
      </c>
    </row>
    <row r="40" spans="1:22" ht="15" thickBot="1" x14ac:dyDescent="0.4">
      <c r="A40">
        <v>2002</v>
      </c>
      <c r="B40">
        <v>67.3</v>
      </c>
      <c r="C40">
        <v>34.799999999999997</v>
      </c>
      <c r="D40">
        <v>4.4000000000000004</v>
      </c>
      <c r="E40">
        <v>21.7</v>
      </c>
      <c r="F40" s="2">
        <v>34871843</v>
      </c>
      <c r="G40" s="2">
        <v>1751.8</v>
      </c>
      <c r="H40" s="2">
        <f t="shared" si="0"/>
        <v>17518000</v>
      </c>
      <c r="I40" s="2">
        <f t="shared" si="2"/>
        <v>2909966.777408638</v>
      </c>
      <c r="J40" s="2">
        <f t="shared" ref="J40:J55" si="7">(B40*$F40/100)</f>
        <v>23468750.339000002</v>
      </c>
      <c r="K40" s="2">
        <f t="shared" ref="K40:L55" si="8">(C40*$F40/83.33)</f>
        <v>14563064.159366373</v>
      </c>
      <c r="L40" s="2">
        <f t="shared" si="8"/>
        <v>1841306.9626785074</v>
      </c>
      <c r="M40" s="13">
        <f t="shared" ref="M40:M55" si="9">(E40*F40)/83.33</f>
        <v>9080991.1568462737</v>
      </c>
      <c r="N40" s="1">
        <f t="shared" ref="N40:N55" si="10">SUM(O40:Q40)</f>
        <v>11866005.698609196</v>
      </c>
      <c r="O40" s="21">
        <v>2837183.1445543878</v>
      </c>
      <c r="P40" s="22">
        <v>1062319.4298727363</v>
      </c>
      <c r="Q40" s="22">
        <v>7966503.1241820715</v>
      </c>
      <c r="R40" s="3">
        <f t="shared" ref="R40:U55" si="11">N40/J40</f>
        <v>0.50560875748422163</v>
      </c>
      <c r="S40" s="3">
        <f t="shared" si="11"/>
        <v>0.19482047963989957</v>
      </c>
      <c r="T40" s="3">
        <f t="shared" si="6"/>
        <v>0.57693771402862903</v>
      </c>
      <c r="U40" s="3">
        <f t="shared" si="6"/>
        <v>0.87727242396619054</v>
      </c>
    </row>
    <row r="41" spans="1:22" ht="15" thickBot="1" x14ac:dyDescent="0.4">
      <c r="A41">
        <v>2003</v>
      </c>
      <c r="B41">
        <v>67.8</v>
      </c>
      <c r="C41">
        <v>34.200000000000003</v>
      </c>
      <c r="D41">
        <v>4.3</v>
      </c>
      <c r="E41">
        <v>22.9</v>
      </c>
      <c r="F41" s="2">
        <v>35252159</v>
      </c>
      <c r="G41" s="2">
        <v>1838.7529999999999</v>
      </c>
      <c r="H41" s="2">
        <f t="shared" si="0"/>
        <v>18387530</v>
      </c>
      <c r="I41" s="2">
        <f t="shared" si="2"/>
        <v>3054406.9767441861</v>
      </c>
      <c r="J41" s="2">
        <f>(B41*$F41/100)</f>
        <v>23900963.801999997</v>
      </c>
      <c r="K41" s="2">
        <f t="shared" si="8"/>
        <v>14468064.77619105</v>
      </c>
      <c r="L41" s="2">
        <f t="shared" si="8"/>
        <v>1819084.1677667105</v>
      </c>
      <c r="M41" s="13">
        <f t="shared" si="9"/>
        <v>9687680.8004320171</v>
      </c>
      <c r="N41" s="1">
        <f t="shared" si="10"/>
        <v>11871150.757606838</v>
      </c>
      <c r="O41" s="21">
        <v>3086890.743191503</v>
      </c>
      <c r="P41" s="22">
        <v>1014967.2645202336</v>
      </c>
      <c r="Q41" s="22">
        <v>7769292.7498951023</v>
      </c>
      <c r="R41" s="3">
        <f t="shared" si="11"/>
        <v>0.49668083914730993</v>
      </c>
      <c r="S41" s="3">
        <f t="shared" si="11"/>
        <v>0.21335892470369328</v>
      </c>
      <c r="T41" s="3">
        <f t="shared" si="6"/>
        <v>0.55795508668865434</v>
      </c>
      <c r="U41" s="3">
        <f t="shared" si="6"/>
        <v>0.80197654216152903</v>
      </c>
    </row>
    <row r="42" spans="1:22" ht="15" thickBot="1" x14ac:dyDescent="0.4">
      <c r="A42">
        <v>2004</v>
      </c>
      <c r="B42">
        <v>66.8</v>
      </c>
      <c r="C42">
        <v>37.1</v>
      </c>
      <c r="D42">
        <v>4.7</v>
      </c>
      <c r="E42">
        <v>18.600000000000001</v>
      </c>
      <c r="F42" s="2">
        <v>35574576</v>
      </c>
      <c r="G42" s="2">
        <v>1812.713</v>
      </c>
      <c r="H42" s="2">
        <f t="shared" si="0"/>
        <v>18127130</v>
      </c>
      <c r="I42" s="2">
        <f t="shared" si="2"/>
        <v>3011151.162790698</v>
      </c>
      <c r="J42" s="2">
        <f t="shared" si="7"/>
        <v>23763816.767999995</v>
      </c>
      <c r="K42" s="2">
        <f t="shared" si="8"/>
        <v>15838434.772590905</v>
      </c>
      <c r="L42" s="2">
        <f t="shared" si="8"/>
        <v>2006486.3458538344</v>
      </c>
      <c r="M42" s="13">
        <f t="shared" si="9"/>
        <v>7940562.9857194293</v>
      </c>
      <c r="N42" s="1">
        <f t="shared" si="10"/>
        <v>12279822.790685354</v>
      </c>
      <c r="O42" s="23">
        <v>3428704.627080149</v>
      </c>
      <c r="P42" s="24">
        <v>1234558.0962950436</v>
      </c>
      <c r="Q42" s="24">
        <v>7616560.067310161</v>
      </c>
      <c r="R42" s="3">
        <f t="shared" si="11"/>
        <v>0.51674454952123605</v>
      </c>
      <c r="S42" s="3">
        <f t="shared" si="11"/>
        <v>0.2164800168899057</v>
      </c>
      <c r="T42" s="3">
        <f t="shared" si="6"/>
        <v>0.61528357710786874</v>
      </c>
      <c r="U42" s="3">
        <f t="shared" si="6"/>
        <v>0.9591964802757732</v>
      </c>
    </row>
    <row r="43" spans="1:22" ht="15" thickBot="1" x14ac:dyDescent="0.4">
      <c r="A43">
        <v>2005</v>
      </c>
      <c r="B43">
        <v>67.099999999999994</v>
      </c>
      <c r="C43">
        <v>37.299999999999997</v>
      </c>
      <c r="D43">
        <v>4.7</v>
      </c>
      <c r="E43">
        <v>18.8</v>
      </c>
      <c r="F43" s="2">
        <v>35827943</v>
      </c>
      <c r="G43" s="2">
        <v>1875.287</v>
      </c>
      <c r="H43" s="2">
        <f t="shared" si="0"/>
        <v>18752870</v>
      </c>
      <c r="I43" s="2">
        <f t="shared" si="2"/>
        <v>3115094.6843853821</v>
      </c>
      <c r="J43" s="2">
        <f t="shared" si="7"/>
        <v>24040549.752999999</v>
      </c>
      <c r="K43" s="2">
        <f t="shared" si="8"/>
        <v>16037228.775951037</v>
      </c>
      <c r="L43" s="2">
        <f t="shared" si="8"/>
        <v>2020776.8162726508</v>
      </c>
      <c r="M43" s="13">
        <f t="shared" si="9"/>
        <v>8083107.2650906034</v>
      </c>
      <c r="N43" s="1">
        <f t="shared" si="10"/>
        <v>12204371.838572178</v>
      </c>
      <c r="O43" s="23">
        <v>3760684.9950272478</v>
      </c>
      <c r="P43" s="24">
        <v>1411847.2692161775</v>
      </c>
      <c r="Q43" s="24">
        <v>7031839.5743287513</v>
      </c>
      <c r="R43" s="3">
        <f t="shared" si="11"/>
        <v>0.5076577683939697</v>
      </c>
      <c r="S43" s="3">
        <f t="shared" si="11"/>
        <v>0.23449718449278856</v>
      </c>
      <c r="T43" s="3">
        <f t="shared" si="6"/>
        <v>0.69866561108927816</v>
      </c>
      <c r="U43" s="3">
        <f t="shared" si="6"/>
        <v>0.86994262771915987</v>
      </c>
    </row>
    <row r="44" spans="1:22" ht="15" thickBot="1" x14ac:dyDescent="0.4">
      <c r="A44">
        <v>2006</v>
      </c>
      <c r="B44">
        <v>65.7</v>
      </c>
      <c r="C44">
        <v>36.299999999999997</v>
      </c>
      <c r="D44">
        <v>4.5</v>
      </c>
      <c r="E44">
        <v>19.2</v>
      </c>
      <c r="F44" s="2">
        <v>36021202</v>
      </c>
      <c r="G44" s="2">
        <v>1889.454</v>
      </c>
      <c r="H44" s="2">
        <f t="shared" si="0"/>
        <v>18894540</v>
      </c>
      <c r="I44" s="2">
        <f t="shared" si="2"/>
        <v>3138627.9069767445</v>
      </c>
      <c r="J44" s="2">
        <f t="shared" si="7"/>
        <v>23665929.714000002</v>
      </c>
      <c r="K44" s="2">
        <f t="shared" si="8"/>
        <v>15691463.249729989</v>
      </c>
      <c r="L44" s="2">
        <f t="shared" si="8"/>
        <v>1945222.7169086763</v>
      </c>
      <c r="M44" s="13">
        <f t="shared" si="9"/>
        <v>8299616.9254770186</v>
      </c>
      <c r="N44" s="1">
        <f>SUM(O44:Q44)</f>
        <v>11641888.328601599</v>
      </c>
      <c r="O44" s="23">
        <v>3893978.8086302248</v>
      </c>
      <c r="P44" s="24">
        <v>1489991.6950017028</v>
      </c>
      <c r="Q44" s="24">
        <v>6257917.8249696707</v>
      </c>
      <c r="R44" s="3">
        <f t="shared" si="11"/>
        <v>0.49192609245833402</v>
      </c>
      <c r="S44" s="3">
        <f t="shared" si="11"/>
        <v>0.24815906245692099</v>
      </c>
      <c r="T44" s="3">
        <f t="shared" si="6"/>
        <v>0.76597485832860257</v>
      </c>
      <c r="U44" s="3">
        <f t="shared" si="6"/>
        <v>0.75400080282741466</v>
      </c>
    </row>
    <row r="45" spans="1:22" ht="15" thickBot="1" x14ac:dyDescent="0.4">
      <c r="A45">
        <v>2007</v>
      </c>
      <c r="B45">
        <v>58.9</v>
      </c>
      <c r="C45">
        <v>30.8</v>
      </c>
      <c r="D45">
        <v>3.7</v>
      </c>
      <c r="E45">
        <v>18.5</v>
      </c>
      <c r="F45" s="2">
        <v>36250311</v>
      </c>
      <c r="G45" s="2">
        <v>1774.6</v>
      </c>
      <c r="H45" s="2">
        <f t="shared" si="0"/>
        <v>17746000</v>
      </c>
      <c r="I45" s="2">
        <f t="shared" si="2"/>
        <v>2947840.5315614622</v>
      </c>
      <c r="J45" s="2">
        <f t="shared" si="7"/>
        <v>21351433.178999998</v>
      </c>
      <c r="K45" s="2">
        <f t="shared" si="8"/>
        <v>13398650.891635666</v>
      </c>
      <c r="L45" s="2">
        <f t="shared" si="8"/>
        <v>1609578.1915276612</v>
      </c>
      <c r="M45" s="13">
        <f t="shared" si="9"/>
        <v>8047890.9576383056</v>
      </c>
      <c r="N45" s="1">
        <f t="shared" si="10"/>
        <v>9823444.8076411281</v>
      </c>
      <c r="O45" s="23">
        <v>3307426.2985541578</v>
      </c>
      <c r="P45" s="24">
        <v>1169457.4704737752</v>
      </c>
      <c r="Q45" s="24">
        <v>5346561.0386131946</v>
      </c>
      <c r="R45" s="3">
        <f t="shared" si="11"/>
        <v>0.46008362648474976</v>
      </c>
      <c r="S45" s="3">
        <f t="shared" si="11"/>
        <v>0.24684771066159167</v>
      </c>
      <c r="T45" s="3">
        <f t="shared" si="6"/>
        <v>0.72656145357178048</v>
      </c>
      <c r="U45" s="3">
        <f t="shared" si="6"/>
        <v>0.6643431262620102</v>
      </c>
    </row>
    <row r="46" spans="1:22" ht="15" thickBot="1" x14ac:dyDescent="0.4">
      <c r="A46">
        <v>2008</v>
      </c>
      <c r="B46">
        <v>49.2</v>
      </c>
      <c r="C46">
        <v>22.8</v>
      </c>
      <c r="D46">
        <v>2.9</v>
      </c>
      <c r="E46">
        <v>17.5</v>
      </c>
      <c r="F46" s="2">
        <v>36604337</v>
      </c>
      <c r="G46" s="2">
        <v>1776.3</v>
      </c>
      <c r="H46" s="2">
        <f t="shared" si="0"/>
        <v>17763000</v>
      </c>
      <c r="I46" s="2">
        <f t="shared" si="2"/>
        <v>2950664.4518272425</v>
      </c>
      <c r="J46" s="2">
        <f t="shared" si="7"/>
        <v>18009333.804000001</v>
      </c>
      <c r="K46" s="2">
        <f t="shared" si="8"/>
        <v>10015347.217088684</v>
      </c>
      <c r="L46" s="2">
        <f t="shared" si="8"/>
        <v>1273881.8828753149</v>
      </c>
      <c r="M46" s="13">
        <f t="shared" si="9"/>
        <v>7687218.2587303491</v>
      </c>
      <c r="N46" s="1">
        <f t="shared" si="10"/>
        <v>8744888.6920528468</v>
      </c>
      <c r="O46" s="23">
        <v>2873033.9109074338</v>
      </c>
      <c r="P46" s="24">
        <v>867555.25107734755</v>
      </c>
      <c r="Q46" s="24">
        <v>5004299.530068065</v>
      </c>
      <c r="R46" s="3">
        <f t="shared" si="11"/>
        <v>0.48557535704683008</v>
      </c>
      <c r="S46" s="3">
        <f t="shared" si="11"/>
        <v>0.28686313600843716</v>
      </c>
      <c r="T46" s="3">
        <f t="shared" si="6"/>
        <v>0.68103272582789542</v>
      </c>
      <c r="U46" s="3">
        <f t="shared" si="6"/>
        <v>0.6509896508252121</v>
      </c>
    </row>
    <row r="47" spans="1:22" ht="15" thickBot="1" x14ac:dyDescent="0.4">
      <c r="A47">
        <v>2009</v>
      </c>
      <c r="B47">
        <v>42.5</v>
      </c>
      <c r="C47">
        <v>18.3</v>
      </c>
      <c r="D47">
        <v>2.4</v>
      </c>
      <c r="E47">
        <v>15.5</v>
      </c>
      <c r="F47" s="2">
        <v>36961229</v>
      </c>
      <c r="G47" s="2">
        <v>1497.5129999999999</v>
      </c>
      <c r="H47" s="2">
        <f t="shared" si="0"/>
        <v>14975130</v>
      </c>
      <c r="I47" s="2">
        <f t="shared" si="2"/>
        <v>2487563.1229235884</v>
      </c>
      <c r="J47" s="2">
        <f t="shared" si="7"/>
        <v>15708522.324999999</v>
      </c>
      <c r="K47" s="2">
        <f t="shared" si="8"/>
        <v>8117010.5688227536</v>
      </c>
      <c r="L47" s="2">
        <f t="shared" si="8"/>
        <v>1064525.9762390496</v>
      </c>
      <c r="M47" s="13">
        <f t="shared" si="9"/>
        <v>6875063.5965438616</v>
      </c>
      <c r="N47" s="1">
        <f t="shared" si="10"/>
        <v>6601860.3979296107</v>
      </c>
      <c r="O47" s="23">
        <v>2533961.1167876855</v>
      </c>
      <c r="P47" s="24">
        <v>670157.41793784022</v>
      </c>
      <c r="Q47" s="24">
        <v>3397741.8632040853</v>
      </c>
      <c r="R47" s="3">
        <f t="shared" si="11"/>
        <v>0.4202725285893249</v>
      </c>
      <c r="S47" s="3">
        <f t="shared" si="11"/>
        <v>0.31217910772724267</v>
      </c>
      <c r="T47" s="3">
        <f t="shared" si="6"/>
        <v>0.62953599338692878</v>
      </c>
      <c r="U47" s="3">
        <f t="shared" si="6"/>
        <v>0.49421242661844639</v>
      </c>
    </row>
    <row r="48" spans="1:22" ht="15" thickBot="1" x14ac:dyDescent="0.4">
      <c r="A48">
        <v>2010</v>
      </c>
      <c r="B48">
        <v>43</v>
      </c>
      <c r="C48">
        <v>18.100000000000001</v>
      </c>
      <c r="D48">
        <v>2.5</v>
      </c>
      <c r="E48">
        <v>15.9</v>
      </c>
      <c r="F48" s="2">
        <v>37319550</v>
      </c>
      <c r="G48" s="2">
        <v>915.09500000000003</v>
      </c>
      <c r="H48" s="2">
        <f t="shared" si="0"/>
        <v>9150950</v>
      </c>
      <c r="I48" s="2">
        <f t="shared" si="2"/>
        <v>1520091.3621262459</v>
      </c>
      <c r="J48" s="2">
        <f t="shared" si="7"/>
        <v>16047406.5</v>
      </c>
      <c r="K48" s="2">
        <f t="shared" si="8"/>
        <v>8106130.5052202092</v>
      </c>
      <c r="L48" s="2">
        <f t="shared" si="8"/>
        <v>1119631.28525141</v>
      </c>
      <c r="M48" s="13">
        <f t="shared" si="9"/>
        <v>7120854.9741989681</v>
      </c>
      <c r="N48" s="1">
        <f t="shared" si="10"/>
        <v>6256956.8378870673</v>
      </c>
      <c r="O48" s="23">
        <v>2367411.7160944417</v>
      </c>
      <c r="P48" s="24">
        <v>666981.11199393915</v>
      </c>
      <c r="Q48" s="24">
        <v>3222564.009798686</v>
      </c>
      <c r="R48" s="3">
        <f t="shared" si="11"/>
        <v>0.38990455173470351</v>
      </c>
      <c r="S48" s="3">
        <f t="shared" si="11"/>
        <v>0.29205201107604534</v>
      </c>
      <c r="T48" s="3">
        <f t="shared" si="6"/>
        <v>0.59571496507814214</v>
      </c>
      <c r="U48" s="3">
        <f t="shared" si="6"/>
        <v>0.45255296189502797</v>
      </c>
    </row>
    <row r="49" spans="1:21" ht="15" thickBot="1" x14ac:dyDescent="0.4">
      <c r="A49">
        <v>2011</v>
      </c>
      <c r="B49">
        <v>44</v>
      </c>
      <c r="C49">
        <v>19.100000000000001</v>
      </c>
      <c r="D49">
        <v>2.5</v>
      </c>
      <c r="E49">
        <v>15.7</v>
      </c>
      <c r="F49" s="2">
        <v>37636311</v>
      </c>
      <c r="G49" s="2">
        <v>1302.7639999999999</v>
      </c>
      <c r="H49" s="2">
        <f t="shared" si="0"/>
        <v>13027639.999999998</v>
      </c>
      <c r="I49" s="2">
        <f t="shared" si="2"/>
        <v>2164059.8006644514</v>
      </c>
      <c r="J49" s="2">
        <f t="shared" si="7"/>
        <v>16559976.84</v>
      </c>
      <c r="K49" s="2">
        <f t="shared" si="8"/>
        <v>8626587.5447017886</v>
      </c>
      <c r="L49" s="2">
        <f t="shared" si="8"/>
        <v>1129134.4953798151</v>
      </c>
      <c r="M49" s="13">
        <f t="shared" si="9"/>
        <v>7090964.6309852386</v>
      </c>
      <c r="N49" s="1">
        <f t="shared" si="10"/>
        <v>6457113.2937363461</v>
      </c>
      <c r="O49" s="23">
        <v>2305529.9543132791</v>
      </c>
      <c r="P49" s="24">
        <v>678665.36059751885</v>
      </c>
      <c r="Q49" s="24">
        <v>3472917.9788255487</v>
      </c>
      <c r="R49" s="3">
        <f t="shared" si="11"/>
        <v>0.38992284567327606</v>
      </c>
      <c r="S49" s="3">
        <f t="shared" si="11"/>
        <v>0.26725862832392766</v>
      </c>
      <c r="T49" s="3">
        <f t="shared" si="6"/>
        <v>0.60104917826395099</v>
      </c>
      <c r="U49" s="3">
        <f t="shared" si="6"/>
        <v>0.48976664805942088</v>
      </c>
    </row>
    <row r="50" spans="1:21" ht="15" thickBot="1" x14ac:dyDescent="0.4">
      <c r="A50">
        <v>2012</v>
      </c>
      <c r="B50">
        <v>45.8</v>
      </c>
      <c r="C50">
        <v>19.8</v>
      </c>
      <c r="D50">
        <v>2.5</v>
      </c>
      <c r="E50">
        <v>16.2</v>
      </c>
      <c r="F50" s="2">
        <v>37944551</v>
      </c>
      <c r="G50" s="2">
        <v>1464.6410000000001</v>
      </c>
      <c r="H50" s="2">
        <f t="shared" si="0"/>
        <v>14646410</v>
      </c>
      <c r="I50" s="2">
        <f t="shared" si="2"/>
        <v>2432958.4717607973</v>
      </c>
      <c r="J50" s="2">
        <f t="shared" si="7"/>
        <v>17378604.357999999</v>
      </c>
      <c r="K50" s="2">
        <f t="shared" si="8"/>
        <v>9015985.9570382833</v>
      </c>
      <c r="L50" s="2">
        <f t="shared" si="8"/>
        <v>1138382.0652826114</v>
      </c>
      <c r="M50" s="13">
        <f t="shared" si="9"/>
        <v>7376715.7830313202</v>
      </c>
      <c r="N50" s="1">
        <f t="shared" si="10"/>
        <v>7723171.7946209945</v>
      </c>
      <c r="O50" s="23">
        <v>2256791.8189985016</v>
      </c>
      <c r="P50" s="24">
        <v>683858.98560342891</v>
      </c>
      <c r="Q50" s="24">
        <v>4782520.9900190635</v>
      </c>
      <c r="R50" s="3">
        <f t="shared" si="11"/>
        <v>0.44440690607388961</v>
      </c>
      <c r="S50" s="3">
        <f t="shared" si="11"/>
        <v>0.25031004149210645</v>
      </c>
      <c r="T50" s="3">
        <f t="shared" si="6"/>
        <v>0.60072888220850185</v>
      </c>
      <c r="U50" s="3">
        <f t="shared" si="6"/>
        <v>0.64832659013653604</v>
      </c>
    </row>
    <row r="51" spans="1:21" ht="15" thickBot="1" x14ac:dyDescent="0.4">
      <c r="A51">
        <v>2013</v>
      </c>
      <c r="B51">
        <v>47.4</v>
      </c>
      <c r="C51">
        <v>21.4</v>
      </c>
      <c r="D51">
        <v>2.7</v>
      </c>
      <c r="E51">
        <v>15.6</v>
      </c>
      <c r="F51" s="2">
        <v>38253768</v>
      </c>
      <c r="G51" s="2">
        <v>1437.18</v>
      </c>
      <c r="H51" s="2">
        <f t="shared" si="0"/>
        <v>14371800</v>
      </c>
      <c r="I51" s="2">
        <f t="shared" si="2"/>
        <v>2387342.19269103</v>
      </c>
      <c r="J51" s="2">
        <f t="shared" si="7"/>
        <v>18132286.032000002</v>
      </c>
      <c r="K51" s="2">
        <f t="shared" si="8"/>
        <v>9823960.5808232315</v>
      </c>
      <c r="L51" s="2">
        <f t="shared" si="8"/>
        <v>1239471.6620664827</v>
      </c>
      <c r="M51" s="13">
        <f t="shared" si="9"/>
        <v>7161391.8252730109</v>
      </c>
      <c r="N51" s="1">
        <f t="shared" si="10"/>
        <v>8555349.5466051511</v>
      </c>
      <c r="O51" s="23">
        <v>2384224.4772383482</v>
      </c>
      <c r="P51" s="24">
        <v>811858.77737113391</v>
      </c>
      <c r="Q51" s="24">
        <v>5359266.2919956679</v>
      </c>
      <c r="R51" s="3">
        <f t="shared" si="11"/>
        <v>0.47182961549947994</v>
      </c>
      <c r="S51" s="3">
        <f t="shared" si="11"/>
        <v>0.24269483347606777</v>
      </c>
      <c r="T51" s="3">
        <f t="shared" si="6"/>
        <v>0.65500390385495355</v>
      </c>
      <c r="U51" s="3">
        <f t="shared" si="6"/>
        <v>0.74835540670773992</v>
      </c>
    </row>
    <row r="52" spans="1:21" ht="15" thickBot="1" x14ac:dyDescent="0.4">
      <c r="A52">
        <v>2014</v>
      </c>
      <c r="B52">
        <v>49.5</v>
      </c>
      <c r="C52">
        <v>23.1</v>
      </c>
      <c r="D52">
        <v>2.7</v>
      </c>
      <c r="E52">
        <v>15.6</v>
      </c>
      <c r="F52" s="2">
        <v>38586706</v>
      </c>
      <c r="G52" s="2">
        <v>1767.0329999999999</v>
      </c>
      <c r="H52" s="2">
        <f t="shared" si="0"/>
        <v>17670330</v>
      </c>
      <c r="I52" s="2">
        <f t="shared" si="2"/>
        <v>2935270.7641196013</v>
      </c>
      <c r="J52" s="2">
        <f t="shared" si="7"/>
        <v>19100419.469999999</v>
      </c>
      <c r="K52" s="2">
        <f t="shared" si="8"/>
        <v>10696662.769710789</v>
      </c>
      <c r="L52" s="2">
        <f t="shared" si="8"/>
        <v>1250259.284771391</v>
      </c>
      <c r="M52" s="13">
        <f t="shared" si="9"/>
        <v>7223720.3120124806</v>
      </c>
      <c r="N52" s="1">
        <f t="shared" si="10"/>
        <v>8682207.5414204542</v>
      </c>
      <c r="O52" s="23">
        <v>2016490.8054995025</v>
      </c>
      <c r="P52" s="25">
        <v>928439.3422081169</v>
      </c>
      <c r="Q52" s="25">
        <v>5737277.3937128345</v>
      </c>
      <c r="R52" s="3">
        <f t="shared" si="11"/>
        <v>0.45455585700916834</v>
      </c>
      <c r="S52" s="3">
        <f t="shared" si="11"/>
        <v>0.18851588097266186</v>
      </c>
      <c r="T52" s="3">
        <f t="shared" si="6"/>
        <v>0.74259743840085246</v>
      </c>
      <c r="U52" s="3">
        <f t="shared" si="6"/>
        <v>0.79422750963547029</v>
      </c>
    </row>
    <row r="53" spans="1:21" ht="15" thickBot="1" x14ac:dyDescent="0.4">
      <c r="A53">
        <v>2015</v>
      </c>
      <c r="B53">
        <v>50.6</v>
      </c>
      <c r="C53">
        <v>23.9</v>
      </c>
      <c r="D53">
        <v>2.8</v>
      </c>
      <c r="E53">
        <v>15.3</v>
      </c>
      <c r="F53" s="2">
        <v>38904296</v>
      </c>
      <c r="G53" s="2">
        <v>1494.4369999999999</v>
      </c>
      <c r="H53" s="2">
        <f t="shared" si="0"/>
        <v>14944369.999999998</v>
      </c>
      <c r="I53" s="2">
        <f t="shared" si="2"/>
        <v>2482453.4883720931</v>
      </c>
      <c r="J53" s="2">
        <f t="shared" si="7"/>
        <v>19685573.776000001</v>
      </c>
      <c r="K53" s="2">
        <f t="shared" si="8"/>
        <v>11158198.420736829</v>
      </c>
      <c r="L53" s="2">
        <f t="shared" si="8"/>
        <v>1307236.6350654026</v>
      </c>
      <c r="M53" s="13">
        <f t="shared" si="9"/>
        <v>7143114.4701788081</v>
      </c>
      <c r="N53" s="1">
        <f t="shared" si="10"/>
        <v>9186155.7416128479</v>
      </c>
      <c r="O53" s="23">
        <v>2565488.8886773158</v>
      </c>
      <c r="P53" s="24">
        <v>1011835.2457466676</v>
      </c>
      <c r="Q53" s="24">
        <v>5608831.6071888655</v>
      </c>
      <c r="R53" s="3">
        <f t="shared" si="11"/>
        <v>0.46664404330506765</v>
      </c>
      <c r="S53" s="3">
        <f t="shared" si="11"/>
        <v>0.22991963325455045</v>
      </c>
      <c r="T53" s="3">
        <f t="shared" si="6"/>
        <v>0.77402607806814128</v>
      </c>
      <c r="U53" s="3">
        <f t="shared" si="6"/>
        <v>0.78520813723547456</v>
      </c>
    </row>
    <row r="54" spans="1:21" ht="15" thickBot="1" x14ac:dyDescent="0.4">
      <c r="A54">
        <v>2016</v>
      </c>
      <c r="B54">
        <v>52.2</v>
      </c>
      <c r="C54">
        <v>24.8</v>
      </c>
      <c r="D54">
        <v>2.9</v>
      </c>
      <c r="E54">
        <v>15.4</v>
      </c>
      <c r="F54" s="2">
        <v>39149186</v>
      </c>
      <c r="G54" s="2">
        <v>1703.1880000000001</v>
      </c>
      <c r="H54" s="2">
        <f t="shared" si="0"/>
        <v>17031880</v>
      </c>
      <c r="I54" s="2">
        <f t="shared" si="2"/>
        <v>2829215.9468438542</v>
      </c>
      <c r="J54" s="2">
        <f t="shared" si="7"/>
        <v>20435875.092</v>
      </c>
      <c r="K54" s="2">
        <f t="shared" si="8"/>
        <v>11651263.804152166</v>
      </c>
      <c r="L54" s="2">
        <f t="shared" si="8"/>
        <v>1362446.1706468258</v>
      </c>
      <c r="M54" s="13">
        <f t="shared" si="9"/>
        <v>7235058.9751590062</v>
      </c>
      <c r="N54" s="1">
        <f t="shared" si="10"/>
        <v>9313974.34861001</v>
      </c>
      <c r="O54" s="23">
        <v>2737998.7381847193</v>
      </c>
      <c r="P54" s="24">
        <v>1135638.3906228517</v>
      </c>
      <c r="Q54" s="24">
        <v>5440337.2198024392</v>
      </c>
      <c r="R54" s="3">
        <f t="shared" si="11"/>
        <v>0.4557658679493562</v>
      </c>
      <c r="S54" s="3">
        <f t="shared" si="11"/>
        <v>0.23499585832130737</v>
      </c>
      <c r="T54" s="3">
        <f t="shared" si="6"/>
        <v>0.83352899739422626</v>
      </c>
      <c r="U54" s="3">
        <f t="shared" si="6"/>
        <v>0.75194096392046006</v>
      </c>
    </row>
    <row r="55" spans="1:21" ht="15" thickBot="1" x14ac:dyDescent="0.4">
      <c r="A55">
        <v>2017</v>
      </c>
      <c r="B55">
        <v>52.4</v>
      </c>
      <c r="C55">
        <v>24.8</v>
      </c>
      <c r="D55">
        <v>3</v>
      </c>
      <c r="E55">
        <v>15.2</v>
      </c>
      <c r="F55" s="2">
        <v>39337785</v>
      </c>
      <c r="G55" s="2">
        <v>1687.376</v>
      </c>
      <c r="H55" s="2">
        <f>G55*10000</f>
        <v>16873760</v>
      </c>
      <c r="I55" s="2">
        <f t="shared" si="2"/>
        <v>2802950.1661129571</v>
      </c>
      <c r="J55" s="2">
        <f t="shared" si="7"/>
        <v>20612999.34</v>
      </c>
      <c r="K55" s="2">
        <f t="shared" si="8"/>
        <v>11707393.11172447</v>
      </c>
      <c r="L55" s="2">
        <f t="shared" si="8"/>
        <v>1416216.908676347</v>
      </c>
      <c r="M55" s="13">
        <f t="shared" si="9"/>
        <v>7175499.0039601587</v>
      </c>
      <c r="N55" s="1">
        <f t="shared" si="10"/>
        <v>10686673.399999999</v>
      </c>
      <c r="O55" s="23">
        <v>2741000</v>
      </c>
      <c r="P55" s="24">
        <v>1199625</v>
      </c>
      <c r="Q55" s="24">
        <v>6746048.3999999994</v>
      </c>
      <c r="R55" s="3">
        <f t="shared" si="11"/>
        <v>0.51844339699086206</v>
      </c>
      <c r="S55" s="3">
        <f t="shared" si="11"/>
        <v>0.23412556269721582</v>
      </c>
      <c r="T55" s="3">
        <f t="shared" si="11"/>
        <v>0.84706304002627497</v>
      </c>
      <c r="U55" s="3">
        <f t="shared" si="11"/>
        <v>0.9401504196818723</v>
      </c>
    </row>
    <row r="56" spans="1:21" x14ac:dyDescent="0.35">
      <c r="Q56" t="s">
        <v>15</v>
      </c>
      <c r="R56" s="4">
        <f>AVERAGE(R39:R55)</f>
        <v>0.47180687991414982</v>
      </c>
      <c r="S56" s="4">
        <f t="shared" ref="S56:U56" si="12">AVERAGE(S39:S55)</f>
        <v>0.24070918677949868</v>
      </c>
      <c r="T56" s="4">
        <f t="shared" si="12"/>
        <v>0.67721725626806939</v>
      </c>
      <c r="U56" s="4">
        <f t="shared" si="12"/>
        <v>0.74306141621732535</v>
      </c>
    </row>
    <row r="57" spans="1:21" x14ac:dyDescent="0.35">
      <c r="Q57" t="s">
        <v>16</v>
      </c>
      <c r="R57" s="4">
        <f>STDEV(R39:R55)</f>
        <v>4.3793835086041483E-2</v>
      </c>
      <c r="S57" s="4">
        <f t="shared" ref="S57:U57" si="13">STDEV(S39:S55)</f>
        <v>3.4374657768698219E-2</v>
      </c>
      <c r="T57" s="4">
        <f t="shared" si="13"/>
        <v>9.0578660658108059E-2</v>
      </c>
      <c r="U57" s="4">
        <f t="shared" si="13"/>
        <v>0.15900862824664624</v>
      </c>
    </row>
    <row r="58" spans="1:21" x14ac:dyDescent="0.35">
      <c r="A58" t="s">
        <v>5</v>
      </c>
    </row>
    <row r="59" spans="1:21" x14ac:dyDescent="0.35">
      <c r="A59" t="s">
        <v>6</v>
      </c>
      <c r="B59" t="s">
        <v>7</v>
      </c>
      <c r="C59" t="s">
        <v>8</v>
      </c>
    </row>
    <row r="60" spans="1:21" x14ac:dyDescent="0.35">
      <c r="A60">
        <v>6.02</v>
      </c>
      <c r="B60">
        <v>1900</v>
      </c>
      <c r="C60">
        <v>1979</v>
      </c>
    </row>
    <row r="61" spans="1:21" x14ac:dyDescent="0.35">
      <c r="A61">
        <v>5.35</v>
      </c>
      <c r="B61">
        <v>1980</v>
      </c>
      <c r="C61">
        <v>1989</v>
      </c>
    </row>
    <row r="62" spans="1:21" x14ac:dyDescent="0.35">
      <c r="A62">
        <v>4.7169999999999996</v>
      </c>
      <c r="B62">
        <v>1990</v>
      </c>
      <c r="C62">
        <v>2000</v>
      </c>
    </row>
    <row r="63" spans="1:21" x14ac:dyDescent="0.35">
      <c r="A63">
        <v>4.6212999999999997</v>
      </c>
      <c r="B63">
        <v>2001</v>
      </c>
      <c r="C63">
        <v>2006</v>
      </c>
    </row>
    <row r="64" spans="1:21" x14ac:dyDescent="0.35">
      <c r="A64">
        <v>3.9594</v>
      </c>
      <c r="B64">
        <v>2007</v>
      </c>
      <c r="C64">
        <v>2012</v>
      </c>
    </row>
    <row r="65" spans="1:26" x14ac:dyDescent="0.35">
      <c r="A65">
        <v>4.2857000000000003</v>
      </c>
      <c r="B65">
        <v>2013</v>
      </c>
      <c r="C65">
        <v>2016</v>
      </c>
      <c r="F65" t="s">
        <v>2</v>
      </c>
    </row>
    <row r="66" spans="1:26" x14ac:dyDescent="0.35">
      <c r="A66">
        <v>4.9234</v>
      </c>
      <c r="B66">
        <v>2017</v>
      </c>
      <c r="C66">
        <v>2023</v>
      </c>
      <c r="F66" t="s">
        <v>4</v>
      </c>
    </row>
    <row r="68" spans="1:26" x14ac:dyDescent="0.35">
      <c r="F68" t="s">
        <v>3</v>
      </c>
    </row>
    <row r="72" spans="1:26" x14ac:dyDescent="0.35"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18"/>
      <c r="W72" s="2"/>
      <c r="X72" s="2"/>
      <c r="Y72" s="2"/>
      <c r="Z72" s="2"/>
    </row>
    <row r="77" spans="1:26" x14ac:dyDescent="0.35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6" ht="15" thickBot="1" x14ac:dyDescent="0.4"/>
    <row r="79" spans="1:26" ht="15" thickBot="1" x14ac:dyDescent="0.4">
      <c r="F79" s="5"/>
      <c r="G79" s="5"/>
      <c r="H79" s="5"/>
      <c r="I79" s="5"/>
      <c r="J79" s="6"/>
      <c r="K79" s="11"/>
    </row>
    <row r="80" spans="1:26" ht="15" thickBot="1" x14ac:dyDescent="0.4">
      <c r="F80" s="7"/>
      <c r="G80" s="7"/>
      <c r="H80" s="7"/>
      <c r="I80" s="7"/>
      <c r="J80" s="8"/>
      <c r="K80" s="9"/>
    </row>
    <row r="81" spans="6:31" ht="15" thickBot="1" x14ac:dyDescent="0.4">
      <c r="F81" s="10"/>
    </row>
    <row r="82" spans="6:31" ht="15" thickBot="1" x14ac:dyDescent="0.4">
      <c r="F82" s="7"/>
      <c r="G82" s="10"/>
      <c r="H82" s="10"/>
      <c r="I82" s="10">
        <v>8801.1464317358477</v>
      </c>
      <c r="J82" s="5">
        <v>7966.5031241820716</v>
      </c>
      <c r="K82" s="6">
        <v>7769.2927498951021</v>
      </c>
      <c r="L82">
        <v>7616.5600673101608</v>
      </c>
      <c r="M82">
        <v>7031.839574328751</v>
      </c>
      <c r="N82">
        <v>6257.9178249696706</v>
      </c>
      <c r="O82">
        <v>5346.5610386131948</v>
      </c>
      <c r="P82">
        <v>5004.299530068065</v>
      </c>
      <c r="Q82">
        <v>3397.7418632040853</v>
      </c>
      <c r="R82">
        <v>3222.5640097986861</v>
      </c>
      <c r="S82">
        <v>3472.9179788255487</v>
      </c>
      <c r="T82">
        <v>4782.5209900190639</v>
      </c>
      <c r="U82">
        <v>5359.2662919956674</v>
      </c>
      <c r="V82" s="17">
        <v>5737.2773937128341</v>
      </c>
      <c r="W82">
        <v>5608.8316071888657</v>
      </c>
      <c r="X82">
        <v>5440.337219802439</v>
      </c>
      <c r="Y82">
        <v>6746.0483999999997</v>
      </c>
      <c r="Z82">
        <v>5862.1524909641457</v>
      </c>
      <c r="AA82">
        <v>6181.2709855830071</v>
      </c>
      <c r="AB82">
        <v>4932.3281538850515</v>
      </c>
      <c r="AC82">
        <v>4517.8956298092216</v>
      </c>
      <c r="AD82">
        <v>4126.2660655200862</v>
      </c>
      <c r="AE82">
        <v>3735.6731335154377</v>
      </c>
    </row>
    <row r="83" spans="6:31" ht="15" thickBot="1" x14ac:dyDescent="0.4">
      <c r="F83" s="10"/>
      <c r="G83" s="10"/>
      <c r="H83" s="10"/>
      <c r="I83" s="10">
        <f>I82*1000</f>
        <v>8801146.4317358471</v>
      </c>
      <c r="J83" s="10">
        <f t="shared" ref="J83:AE83" si="14">J82*1000</f>
        <v>7966503.1241820715</v>
      </c>
      <c r="K83" s="10">
        <f t="shared" si="14"/>
        <v>7769292.7498951023</v>
      </c>
      <c r="L83" s="10">
        <f t="shared" si="14"/>
        <v>7616560.067310161</v>
      </c>
      <c r="M83" s="10">
        <f t="shared" si="14"/>
        <v>7031839.5743287513</v>
      </c>
      <c r="N83" s="10">
        <f t="shared" si="14"/>
        <v>6257917.8249696707</v>
      </c>
      <c r="O83" s="10">
        <f t="shared" si="14"/>
        <v>5346561.0386131946</v>
      </c>
      <c r="P83" s="10">
        <f t="shared" si="14"/>
        <v>5004299.530068065</v>
      </c>
      <c r="Q83" s="10">
        <f t="shared" si="14"/>
        <v>3397741.8632040853</v>
      </c>
      <c r="R83" s="10">
        <f t="shared" si="14"/>
        <v>3222564.009798686</v>
      </c>
      <c r="S83" s="10">
        <f t="shared" si="14"/>
        <v>3472917.9788255487</v>
      </c>
      <c r="T83" s="10">
        <f t="shared" si="14"/>
        <v>4782520.9900190635</v>
      </c>
      <c r="U83" s="10">
        <f t="shared" si="14"/>
        <v>5359266.2919956679</v>
      </c>
      <c r="V83" s="10">
        <f t="shared" si="14"/>
        <v>5737277.3937128345</v>
      </c>
      <c r="W83" s="10">
        <f t="shared" si="14"/>
        <v>5608831.6071888655</v>
      </c>
      <c r="X83" s="10">
        <f t="shared" si="14"/>
        <v>5440337.2198024392</v>
      </c>
      <c r="Y83" s="10">
        <f t="shared" si="14"/>
        <v>6746048.3999999994</v>
      </c>
      <c r="Z83" s="10">
        <f t="shared" si="14"/>
        <v>5862152.4909641454</v>
      </c>
      <c r="AA83" s="10">
        <f t="shared" si="14"/>
        <v>6181270.9855830073</v>
      </c>
      <c r="AB83" s="10">
        <f t="shared" si="14"/>
        <v>4932328.1538850516</v>
      </c>
      <c r="AC83" s="10">
        <f t="shared" si="14"/>
        <v>4517895.6298092213</v>
      </c>
      <c r="AD83" s="10">
        <f t="shared" si="14"/>
        <v>4126266.0655200863</v>
      </c>
      <c r="AE83" s="10">
        <f t="shared" si="14"/>
        <v>3735673.1335154376</v>
      </c>
    </row>
    <row r="84" spans="6:31" ht="15" thickBot="1" x14ac:dyDescent="0.4">
      <c r="F84" s="7"/>
      <c r="G84" s="7"/>
      <c r="H84" s="7"/>
      <c r="I84" s="7">
        <v>8801146.4317358471</v>
      </c>
      <c r="J84" s="8">
        <v>7966503.1241820715</v>
      </c>
      <c r="K84" s="9">
        <v>7769292.7498951023</v>
      </c>
      <c r="L84">
        <v>7616560.067310161</v>
      </c>
      <c r="M84">
        <v>7031839.5743287513</v>
      </c>
      <c r="N84">
        <v>6257917.8249696707</v>
      </c>
      <c r="O84">
        <v>5346561.0386131946</v>
      </c>
      <c r="P84">
        <v>5004299.530068065</v>
      </c>
      <c r="Q84">
        <v>3397741.8632040853</v>
      </c>
      <c r="R84">
        <v>3222564.009798686</v>
      </c>
      <c r="S84">
        <v>3472917.9788255487</v>
      </c>
      <c r="T84">
        <v>4782520.9900190635</v>
      </c>
      <c r="U84">
        <v>5359266.2919956679</v>
      </c>
      <c r="V84" s="17">
        <v>5737277.3937128345</v>
      </c>
      <c r="W84">
        <v>5608831.6071888655</v>
      </c>
      <c r="X84">
        <v>5440337.2198024392</v>
      </c>
      <c r="Y84">
        <v>6746048.3999999994</v>
      </c>
      <c r="Z84">
        <v>5862152.4909641454</v>
      </c>
      <c r="AA84">
        <v>6181270.9855830073</v>
      </c>
      <c r="AB84">
        <v>4932328.1538850516</v>
      </c>
      <c r="AC84">
        <v>4517895.6298092213</v>
      </c>
      <c r="AD84">
        <v>4126266.0655200863</v>
      </c>
      <c r="AE84">
        <v>3735673.1335154376</v>
      </c>
    </row>
    <row r="85" spans="6:31" ht="15" thickBot="1" x14ac:dyDescent="0.4">
      <c r="F85" s="10"/>
      <c r="G85" s="10"/>
      <c r="H85" s="10"/>
      <c r="I85" s="10"/>
      <c r="J85" s="5"/>
      <c r="K85" s="6"/>
    </row>
    <row r="86" spans="6:31" ht="15" thickBot="1" x14ac:dyDescent="0.4">
      <c r="F86" s="7"/>
      <c r="G86" s="7"/>
      <c r="H86" s="7"/>
      <c r="I86" s="7"/>
      <c r="J86" s="8"/>
      <c r="K86" s="9"/>
    </row>
    <row r="87" spans="6:31" ht="15" thickBot="1" x14ac:dyDescent="0.4">
      <c r="F87" s="10"/>
      <c r="G87" s="10"/>
      <c r="H87" s="10"/>
      <c r="I87" s="10"/>
      <c r="J87" s="5"/>
      <c r="K87" s="6"/>
    </row>
    <row r="88" spans="6:31" ht="15" thickBot="1" x14ac:dyDescent="0.4">
      <c r="F88" s="7"/>
      <c r="G88" s="7"/>
      <c r="H88" s="7"/>
      <c r="I88" s="7"/>
      <c r="J88" s="8"/>
      <c r="K88" s="9"/>
    </row>
    <row r="89" spans="6:31" ht="15" thickBot="1" x14ac:dyDescent="0.4">
      <c r="F89" s="10"/>
      <c r="G89" s="10"/>
      <c r="H89" s="10"/>
      <c r="I89" s="10"/>
      <c r="J89" s="5"/>
      <c r="K89" s="6"/>
    </row>
    <row r="90" spans="6:31" ht="15" thickBot="1" x14ac:dyDescent="0.4">
      <c r="F90" s="7"/>
      <c r="G90" s="7"/>
      <c r="H90" s="7"/>
      <c r="I90" s="7"/>
      <c r="J90" s="8"/>
      <c r="K90" s="9"/>
    </row>
    <row r="91" spans="6:31" ht="15" thickBot="1" x14ac:dyDescent="0.4">
      <c r="F91" s="10"/>
      <c r="G91" s="10"/>
      <c r="H91" s="10"/>
      <c r="I91" s="10"/>
      <c r="J91" s="5"/>
      <c r="K91" s="6"/>
    </row>
    <row r="92" spans="6:31" ht="15" thickBot="1" x14ac:dyDescent="0.4">
      <c r="F92" s="7"/>
      <c r="G92" s="7"/>
      <c r="H92" s="7"/>
      <c r="I92" s="7"/>
      <c r="J92" s="8"/>
      <c r="K92" s="9"/>
    </row>
    <row r="93" spans="6:31" ht="15" thickBot="1" x14ac:dyDescent="0.4">
      <c r="F93" s="10"/>
      <c r="G93" s="10"/>
      <c r="H93" s="10"/>
      <c r="I93" s="10"/>
      <c r="J93" s="5"/>
      <c r="K93" s="6"/>
    </row>
    <row r="94" spans="6:31" ht="15" thickBot="1" x14ac:dyDescent="0.4">
      <c r="F94" s="7"/>
      <c r="G94" s="7"/>
      <c r="H94" s="7"/>
      <c r="I94" s="7"/>
      <c r="J94" s="8"/>
      <c r="K94" s="9"/>
    </row>
    <row r="95" spans="6:31" ht="15" thickBot="1" x14ac:dyDescent="0.4">
      <c r="F95" s="10"/>
      <c r="G95" s="10"/>
      <c r="H95" s="10"/>
      <c r="I95" s="10"/>
      <c r="J95" s="5"/>
      <c r="K95" s="6"/>
    </row>
    <row r="96" spans="6:31" ht="15" thickBot="1" x14ac:dyDescent="0.4">
      <c r="F96" s="7"/>
      <c r="G96" s="7"/>
      <c r="H96" s="7"/>
      <c r="I96" s="7"/>
      <c r="J96" s="8"/>
      <c r="K96" s="9"/>
    </row>
    <row r="97" spans="6:11" ht="15" thickBot="1" x14ac:dyDescent="0.4">
      <c r="F97" s="10"/>
      <c r="G97" s="10"/>
      <c r="H97" s="10"/>
      <c r="I97" s="10"/>
      <c r="J97" s="5"/>
      <c r="K97" s="6"/>
    </row>
    <row r="98" spans="6:11" ht="15" thickBot="1" x14ac:dyDescent="0.4">
      <c r="F98" s="7"/>
      <c r="G98" s="7"/>
      <c r="H98" s="7"/>
      <c r="I98" s="7"/>
      <c r="J98" s="8"/>
      <c r="K98" s="9"/>
    </row>
    <row r="99" spans="6:11" ht="15" thickBot="1" x14ac:dyDescent="0.4">
      <c r="F99" s="10"/>
      <c r="G99" s="10"/>
      <c r="H99" s="10"/>
      <c r="I99" s="10"/>
      <c r="J99" s="5"/>
      <c r="K99" s="6"/>
    </row>
    <row r="100" spans="6:11" ht="15" thickBot="1" x14ac:dyDescent="0.4">
      <c r="F100" s="7"/>
      <c r="G100" s="7"/>
      <c r="H100" s="7"/>
      <c r="I100" s="7"/>
      <c r="J100" s="8"/>
      <c r="K100" s="9"/>
    </row>
    <row r="101" spans="6:11" ht="15" thickBot="1" x14ac:dyDescent="0.4">
      <c r="F101" s="10"/>
      <c r="G101" s="10"/>
      <c r="H101" s="10"/>
      <c r="I101" s="10"/>
      <c r="J101" s="5"/>
      <c r="K101" s="6"/>
    </row>
    <row r="102" spans="6:11" ht="15" thickBot="1" x14ac:dyDescent="0.4">
      <c r="F102" s="7"/>
      <c r="G102" s="7"/>
      <c r="H102" s="7"/>
      <c r="I102" s="7"/>
      <c r="J102" s="8"/>
      <c r="K102" s="9"/>
    </row>
    <row r="103" spans="6:11" ht="15" thickBot="1" x14ac:dyDescent="0.4">
      <c r="F103" s="10"/>
      <c r="G103" s="10"/>
      <c r="H103" s="10"/>
      <c r="I103" s="10"/>
      <c r="J103" s="5"/>
      <c r="K103" s="6"/>
    </row>
    <row r="104" spans="6:11" ht="15" thickBot="1" x14ac:dyDescent="0.4">
      <c r="F104" s="7"/>
      <c r="G104" s="7"/>
      <c r="H104" s="7"/>
      <c r="I104" s="7"/>
      <c r="J104" s="8"/>
      <c r="K104" s="9"/>
    </row>
    <row r="105" spans="6:11" ht="15" thickBot="1" x14ac:dyDescent="0.4">
      <c r="F105" s="10"/>
      <c r="G105" s="10"/>
      <c r="H105" s="10"/>
      <c r="I105" s="10"/>
      <c r="J105" s="5"/>
      <c r="K105" s="6"/>
    </row>
    <row r="106" spans="6:11" ht="15" thickBot="1" x14ac:dyDescent="0.4">
      <c r="F106" s="7"/>
      <c r="G106" s="7"/>
      <c r="H106" s="7"/>
      <c r="I106" s="7"/>
      <c r="J106" s="8"/>
      <c r="K106" s="9"/>
    </row>
    <row r="107" spans="6:11" ht="15" thickBot="1" x14ac:dyDescent="0.4">
      <c r="F107" s="10"/>
      <c r="G107" s="10"/>
      <c r="H107" s="10"/>
      <c r="I107" s="10"/>
      <c r="J107" s="5"/>
      <c r="K107" s="6"/>
    </row>
    <row r="108" spans="6:11" ht="15" thickBot="1" x14ac:dyDescent="0.4">
      <c r="F108" s="7"/>
      <c r="G108" s="7"/>
      <c r="H108" s="7"/>
      <c r="I108" s="7"/>
      <c r="J108" s="8"/>
      <c r="K108" s="9"/>
    </row>
    <row r="109" spans="6:11" ht="15" thickBot="1" x14ac:dyDescent="0.4">
      <c r="F109" s="10"/>
      <c r="G109" s="10"/>
      <c r="H109" s="10"/>
      <c r="I109" s="10"/>
      <c r="J109" s="5"/>
      <c r="K109" s="6"/>
    </row>
    <row r="110" spans="6:11" ht="15" thickBot="1" x14ac:dyDescent="0.4">
      <c r="F110" s="7"/>
      <c r="G110" s="7"/>
      <c r="H110" s="7"/>
      <c r="I110" s="7"/>
      <c r="J110" s="8"/>
      <c r="K110" s="9"/>
    </row>
    <row r="111" spans="6:11" ht="15" thickBot="1" x14ac:dyDescent="0.4">
      <c r="F111" s="10"/>
      <c r="G111" s="10"/>
      <c r="H111" s="10"/>
      <c r="I111" s="10"/>
      <c r="J111" s="5"/>
      <c r="K111" s="6"/>
    </row>
    <row r="112" spans="6:11" ht="15" thickBot="1" x14ac:dyDescent="0.4">
      <c r="F112" s="7"/>
      <c r="G112" s="7"/>
      <c r="H112" s="7"/>
      <c r="I112" s="7"/>
      <c r="J112" s="8"/>
      <c r="K112" s="9"/>
    </row>
    <row r="113" spans="6:11" ht="15" thickBot="1" x14ac:dyDescent="0.4">
      <c r="F113" s="10"/>
      <c r="G113" s="10"/>
      <c r="H113" s="10"/>
      <c r="I113" s="10"/>
      <c r="J113" s="5"/>
      <c r="K113" s="6"/>
    </row>
    <row r="114" spans="6:11" ht="15" thickBot="1" x14ac:dyDescent="0.4">
      <c r="F114" s="7"/>
      <c r="G114" s="7"/>
      <c r="H114" s="7"/>
      <c r="I114" s="7"/>
      <c r="J114" s="8"/>
      <c r="K114" s="9"/>
    </row>
  </sheetData>
  <mergeCells count="5">
    <mergeCell ref="B1:E1"/>
    <mergeCell ref="G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Interpolation(1964-2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Brewer, Kelsey@ARB</dc:creator>
  <cp:lastModifiedBy>Brewer, Kelsey@ARB</cp:lastModifiedBy>
  <dcterms:created xsi:type="dcterms:W3CDTF">2025-09-15T18:31:12Z</dcterms:created>
  <dcterms:modified xsi:type="dcterms:W3CDTF">2025-10-15T18:43:42Z</dcterms:modified>
</cp:coreProperties>
</file>