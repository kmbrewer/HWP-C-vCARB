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b-my.sharepoint.com/personal/kelsey_brewer_arb_ca_gov/Documents/Biomass_MAIN/Biomass Modelling/HWP-C-vR/HWP Data/ExistingData/"/>
    </mc:Choice>
  </mc:AlternateContent>
  <xr:revisionPtr revIDLastSave="148" documentId="6_{69E451DF-74CE-486B-BBA3-D9EB8571C832}" xr6:coauthVersionLast="47" xr6:coauthVersionMax="47" xr10:uidLastSave="{BE6E718C-3888-482D-83E2-5DE57D29FE38}"/>
  <bookViews>
    <workbookView xWindow="14430" yWindow="-16590" windowWidth="29040" windowHeight="15720" xr2:uid="{E1A17AB9-BE94-4433-9030-CFB138B35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0" i="1" l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23" i="1" s="1"/>
  <c r="AL106" i="1"/>
  <c r="AL107" i="1"/>
  <c r="AL108" i="1"/>
  <c r="AL109" i="1"/>
  <c r="AL110" i="1"/>
  <c r="AL111" i="1"/>
  <c r="AL112" i="1"/>
  <c r="AL113" i="1"/>
  <c r="AL125" i="1" s="1"/>
  <c r="AL114" i="1"/>
  <c r="AL126" i="1" s="1"/>
  <c r="AL115" i="1"/>
  <c r="AL116" i="1"/>
  <c r="AL128" i="1" s="1"/>
  <c r="AL117" i="1"/>
  <c r="AL129" i="1" s="1"/>
  <c r="AL118" i="1"/>
  <c r="AL119" i="1"/>
  <c r="AL120" i="1"/>
  <c r="AL132" i="1" s="1"/>
  <c r="AL131" i="1"/>
  <c r="AL130" i="1"/>
  <c r="AL127" i="1"/>
  <c r="AL124" i="1"/>
  <c r="AL9" i="1"/>
  <c r="AL8" i="1"/>
  <c r="AL7" i="1"/>
  <c r="AL6" i="1"/>
  <c r="AL5" i="1"/>
  <c r="AL4" i="1"/>
  <c r="AL3" i="1"/>
  <c r="AL2" i="1"/>
  <c r="Z125" i="1"/>
  <c r="Z127" i="1"/>
  <c r="Z132" i="1"/>
  <c r="Z124" i="1"/>
  <c r="Z120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23" i="1" s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26" i="1" s="1"/>
  <c r="Z115" i="1"/>
  <c r="Z116" i="1"/>
  <c r="Z128" i="1" s="1"/>
  <c r="Z117" i="1"/>
  <c r="Z129" i="1" s="1"/>
  <c r="Z118" i="1"/>
  <c r="Z130" i="1" s="1"/>
  <c r="Z119" i="1"/>
  <c r="Z131" i="1" s="1"/>
  <c r="Z2" i="1"/>
  <c r="AE123" i="1"/>
  <c r="AF123" i="1"/>
  <c r="AG123" i="1"/>
  <c r="AH123" i="1"/>
  <c r="AI123" i="1"/>
  <c r="AJ123" i="1"/>
  <c r="AK123" i="1"/>
  <c r="AM123" i="1"/>
  <c r="AN123" i="1"/>
  <c r="AE124" i="1"/>
  <c r="AF124" i="1"/>
  <c r="AG124" i="1"/>
  <c r="AH124" i="1"/>
  <c r="AI124" i="1"/>
  <c r="AJ124" i="1"/>
  <c r="AK124" i="1"/>
  <c r="AM124" i="1"/>
  <c r="AN124" i="1"/>
  <c r="AE125" i="1"/>
  <c r="AF125" i="1"/>
  <c r="AG125" i="1"/>
  <c r="AH125" i="1"/>
  <c r="AI125" i="1"/>
  <c r="AJ125" i="1"/>
  <c r="AK125" i="1"/>
  <c r="AM125" i="1"/>
  <c r="AN125" i="1"/>
  <c r="AE126" i="1"/>
  <c r="AF126" i="1"/>
  <c r="AG126" i="1"/>
  <c r="AH126" i="1"/>
  <c r="AI126" i="1"/>
  <c r="AJ126" i="1"/>
  <c r="AK126" i="1"/>
  <c r="AM126" i="1"/>
  <c r="AN126" i="1"/>
  <c r="AE127" i="1"/>
  <c r="AF127" i="1"/>
  <c r="AG127" i="1"/>
  <c r="AH127" i="1"/>
  <c r="AI127" i="1"/>
  <c r="AJ127" i="1"/>
  <c r="AK127" i="1"/>
  <c r="AM127" i="1"/>
  <c r="AN127" i="1"/>
  <c r="AE128" i="1"/>
  <c r="AF128" i="1"/>
  <c r="AG128" i="1"/>
  <c r="AH128" i="1"/>
  <c r="AI128" i="1"/>
  <c r="AJ128" i="1"/>
  <c r="AK128" i="1"/>
  <c r="AM128" i="1"/>
  <c r="AN128" i="1"/>
  <c r="AE129" i="1"/>
  <c r="AF129" i="1"/>
  <c r="AG129" i="1"/>
  <c r="AH129" i="1"/>
  <c r="AI129" i="1"/>
  <c r="AJ129" i="1"/>
  <c r="AK129" i="1"/>
  <c r="AM129" i="1"/>
  <c r="AN129" i="1"/>
  <c r="AE130" i="1"/>
  <c r="AF130" i="1"/>
  <c r="AG130" i="1"/>
  <c r="AH130" i="1"/>
  <c r="AI130" i="1"/>
  <c r="AJ130" i="1"/>
  <c r="AK130" i="1"/>
  <c r="AM130" i="1"/>
  <c r="AN130" i="1"/>
  <c r="AE131" i="1"/>
  <c r="AF131" i="1"/>
  <c r="AG131" i="1"/>
  <c r="AH131" i="1"/>
  <c r="AI131" i="1"/>
  <c r="AJ131" i="1"/>
  <c r="AK131" i="1"/>
  <c r="AM131" i="1"/>
  <c r="AN131" i="1"/>
  <c r="AE132" i="1"/>
  <c r="AF132" i="1"/>
  <c r="AG132" i="1"/>
  <c r="AH132" i="1"/>
  <c r="AI132" i="1"/>
  <c r="AJ132" i="1"/>
  <c r="AK132" i="1"/>
  <c r="AM132" i="1"/>
  <c r="AN132" i="1"/>
  <c r="B123" i="1"/>
  <c r="AD132" i="1"/>
  <c r="AC132" i="1"/>
  <c r="AB132" i="1"/>
  <c r="AA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D131" i="1"/>
  <c r="AC131" i="1"/>
  <c r="AB131" i="1"/>
  <c r="AA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D130" i="1"/>
  <c r="AC130" i="1"/>
  <c r="AB130" i="1"/>
  <c r="AA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D129" i="1"/>
  <c r="AC129" i="1"/>
  <c r="AB129" i="1"/>
  <c r="AA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D128" i="1"/>
  <c r="AC128" i="1"/>
  <c r="AB128" i="1"/>
  <c r="AA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D127" i="1"/>
  <c r="AC127" i="1"/>
  <c r="AB127" i="1"/>
  <c r="AA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D126" i="1"/>
  <c r="AC126" i="1"/>
  <c r="AB126" i="1"/>
  <c r="AA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D125" i="1"/>
  <c r="AC125" i="1"/>
  <c r="AB125" i="1"/>
  <c r="AA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D124" i="1"/>
  <c r="AC124" i="1"/>
  <c r="AB124" i="1"/>
  <c r="AA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D123" i="1"/>
  <c r="AC123" i="1"/>
  <c r="AB123" i="1"/>
  <c r="AA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</calcChain>
</file>

<file path=xl/sharedStrings.xml><?xml version="1.0" encoding="utf-8"?>
<sst xmlns="http://schemas.openxmlformats.org/spreadsheetml/2006/main" count="42" uniqueCount="40">
  <si>
    <t>Year</t>
  </si>
  <si>
    <t>Stock_Total</t>
  </si>
  <si>
    <t>Stock_PIU</t>
  </si>
  <si>
    <t>Stock_SWDS</t>
  </si>
  <si>
    <t>Stock_Domestic</t>
  </si>
  <si>
    <t>Stock_Imports</t>
  </si>
  <si>
    <t>Domestic_Inflow</t>
  </si>
  <si>
    <t>SWDS_Inflow</t>
  </si>
  <si>
    <t>Cum_Inflow_Total</t>
  </si>
  <si>
    <t>Cum_Outflow_Total</t>
  </si>
  <si>
    <t>Cum_Emitted_EnergyCap</t>
  </si>
  <si>
    <t>Emitted_EnergyCap</t>
  </si>
  <si>
    <t>Cum_Emitted_NoEnergyCap</t>
  </si>
  <si>
    <t>Emitted_NoEnergyCap</t>
  </si>
  <si>
    <t>C_Emitted_CO2</t>
  </si>
  <si>
    <t>C_Emitted_CH4</t>
  </si>
  <si>
    <t>CO2e_Emitted</t>
  </si>
  <si>
    <t>CO2_CO2e</t>
  </si>
  <si>
    <t>CH4_CO2e</t>
  </si>
  <si>
    <t>Import_Inflow</t>
  </si>
  <si>
    <t>Inflow_Total</t>
  </si>
  <si>
    <t>Inflow_Total_CO2</t>
  </si>
  <si>
    <t>Domestic_Cum_Emitted_EnergyCap</t>
  </si>
  <si>
    <t>Domestic_Emitted_EnergyCap</t>
  </si>
  <si>
    <t>Domestic_Cum_Emitted_NoEnergyCap</t>
  </si>
  <si>
    <t>Domestic_Emitted_NoEnergyCap</t>
  </si>
  <si>
    <t>Domestic_C_Emitted_CO2</t>
  </si>
  <si>
    <t>Domestic_C_Emitted_CH4</t>
  </si>
  <si>
    <t>Domestic_CO2e_Emitted</t>
  </si>
  <si>
    <t>Domestic_CO2_CO2e</t>
  </si>
  <si>
    <t>Domestic_CH4_CO2e</t>
  </si>
  <si>
    <t>Total_C_Emmitted</t>
  </si>
  <si>
    <t>Domestic_C_Emitted</t>
  </si>
  <si>
    <t>Cum_Outflow_Domestic</t>
  </si>
  <si>
    <t>Domestic_Inflow_Total_CO2</t>
  </si>
  <si>
    <t>Domestic_Stock_PIU</t>
  </si>
  <si>
    <t>Domestic_Stock_SWDS</t>
  </si>
  <si>
    <t>Annual Change</t>
  </si>
  <si>
    <t>2001-2013</t>
  </si>
  <si>
    <t>Annual_CO2_Mitigation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</si>
</sst>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164" fontId="0" fillId="0" borderId="0" xfId="0" applyNumberFormat="1"/>
    <xf numFmtId="164" fontId="2" fillId="0" borderId="0" xfId="0" applyNumberFormat="1" applyFont="1"/>
    <xf numFmtId="164" fontId="3" fillId="2" borderId="0" xfId="0" applyNumberFormat="1" applyFont="1" applyFill="1"/>
    <xf numFmtId="164" fontId="4" fillId="2" borderId="0" xfId="0" applyNumberFormat="1" applyFont="1" applyFill="1"/>
    <xf numFmtId="164" fontId="3" fillId="0" borderId="0" xfId="0" applyNumberFormat="1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90D8-270A-48CE-BA10-0F000DF87A48}">
  <dimension ref="A1:AN132"/>
  <sheetViews>
    <sheetView tabSelected="1" topLeftCell="AB1" zoomScale="81" zoomScaleNormal="100" workbookViewId="0">
      <pane ySplit="1" topLeftCell="A101" activePane="bottomLeft" state="frozen"/>
      <selection pane="bottomLeft" activeCell="AL123" sqref="AL123"/>
    </sheetView>
  </sheetViews>
  <sheetFormatPr defaultRowHeight="14.5" x14ac:dyDescent="0.35"/>
  <cols>
    <col min="1" max="1" width="14.453125" style="3" bestFit="1" customWidth="1"/>
    <col min="2" max="2" width="11" style="3" bestFit="1" customWidth="1"/>
    <col min="3" max="3" width="9.36328125" style="3" bestFit="1" customWidth="1"/>
    <col min="4" max="4" width="11.54296875" style="3" bestFit="1" customWidth="1"/>
    <col min="5" max="5" width="14.81640625" style="3" bestFit="1" customWidth="1"/>
    <col min="6" max="6" width="18.90625" bestFit="1" customWidth="1"/>
    <col min="7" max="7" width="21.08984375" bestFit="1" customWidth="1"/>
    <col min="8" max="8" width="13.453125" style="3" bestFit="1" customWidth="1"/>
    <col min="9" max="9" width="15.90625" style="3" bestFit="1" customWidth="1"/>
    <col min="10" max="10" width="26.1796875" style="11" bestFit="1" customWidth="1"/>
    <col min="11" max="11" width="13.6328125" style="3" bestFit="1" customWidth="1"/>
    <col min="12" max="12" width="12.81640625" style="3" bestFit="1" customWidth="1"/>
    <col min="13" max="13" width="17.1796875" style="3" bestFit="1" customWidth="1"/>
    <col min="14" max="14" width="12.08984375" bestFit="1" customWidth="1"/>
    <col min="15" max="15" width="16.453125" style="7" bestFit="1" customWidth="1"/>
    <col min="16" max="16" width="18.36328125" style="3" bestFit="1" customWidth="1"/>
    <col min="17" max="17" width="18" style="3" bestFit="1" customWidth="1"/>
    <col min="18" max="18" width="22.7265625" style="3" bestFit="1" customWidth="1"/>
    <col min="19" max="19" width="20.26953125" style="3" bestFit="1" customWidth="1"/>
    <col min="20" max="20" width="25.36328125" style="3" bestFit="1" customWidth="1"/>
    <col min="21" max="21" width="18.36328125" style="3" bestFit="1" customWidth="1"/>
    <col min="22" max="22" width="17.1796875" bestFit="1" customWidth="1"/>
    <col min="23" max="24" width="14" style="7" bestFit="1" customWidth="1"/>
    <col min="25" max="25" width="13" style="8" bestFit="1" customWidth="1"/>
    <col min="26" max="26" width="13" style="8" customWidth="1"/>
    <col min="27" max="28" width="12.453125" style="7" bestFit="1" customWidth="1"/>
    <col min="29" max="29" width="27.36328125" style="5" bestFit="1" customWidth="1"/>
    <col min="30" max="30" width="32.1796875" style="4" bestFit="1" customWidth="1"/>
    <col min="31" max="31" width="30" style="5" bestFit="1" customWidth="1"/>
    <col min="32" max="32" width="34.7265625" style="4" customWidth="1"/>
    <col min="33" max="33" width="22.1796875" style="4" bestFit="1" customWidth="1"/>
    <col min="34" max="34" width="19.1796875" style="5" bestFit="1" customWidth="1"/>
    <col min="35" max="36" width="23.54296875" style="5" bestFit="1" customWidth="1"/>
    <col min="37" max="37" width="22" style="5" bestFit="1" customWidth="1"/>
    <col min="38" max="38" width="13" style="8" customWidth="1"/>
    <col min="39" max="40" width="19.08984375" style="9" bestFit="1" customWidth="1"/>
  </cols>
  <sheetData>
    <row r="1" spans="1:4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35</v>
      </c>
      <c r="G1" t="s">
        <v>36</v>
      </c>
      <c r="H1" s="3" t="s">
        <v>5</v>
      </c>
      <c r="I1" s="3" t="s">
        <v>6</v>
      </c>
      <c r="J1" s="3" t="s">
        <v>34</v>
      </c>
      <c r="K1" s="3" t="s">
        <v>19</v>
      </c>
      <c r="L1" s="3" t="s">
        <v>7</v>
      </c>
      <c r="M1" s="3" t="s">
        <v>8</v>
      </c>
      <c r="N1" t="s">
        <v>20</v>
      </c>
      <c r="O1" t="s">
        <v>21</v>
      </c>
      <c r="P1" s="3" t="s">
        <v>9</v>
      </c>
      <c r="Q1" s="3" t="s">
        <v>11</v>
      </c>
      <c r="R1" s="3" t="s">
        <v>10</v>
      </c>
      <c r="S1" s="3" t="s">
        <v>13</v>
      </c>
      <c r="T1" s="3" t="s">
        <v>12</v>
      </c>
      <c r="U1" s="3" t="s">
        <v>9</v>
      </c>
      <c r="V1" t="s">
        <v>31</v>
      </c>
      <c r="W1" t="s">
        <v>14</v>
      </c>
      <c r="X1" t="s">
        <v>15</v>
      </c>
      <c r="Y1" s="1" t="s">
        <v>16</v>
      </c>
      <c r="Z1" s="1" t="s">
        <v>39</v>
      </c>
      <c r="AA1" t="s">
        <v>17</v>
      </c>
      <c r="AB1" t="s">
        <v>18</v>
      </c>
      <c r="AC1" s="5" t="s">
        <v>23</v>
      </c>
      <c r="AD1" s="5" t="s">
        <v>22</v>
      </c>
      <c r="AE1" s="5" t="s">
        <v>25</v>
      </c>
      <c r="AF1" s="5" t="s">
        <v>24</v>
      </c>
      <c r="AG1" s="5" t="s">
        <v>33</v>
      </c>
      <c r="AH1" s="5" t="s">
        <v>32</v>
      </c>
      <c r="AI1" s="5" t="s">
        <v>26</v>
      </c>
      <c r="AJ1" s="5" t="s">
        <v>27</v>
      </c>
      <c r="AK1" s="6" t="s">
        <v>28</v>
      </c>
      <c r="AL1" s="1" t="s">
        <v>39</v>
      </c>
      <c r="AM1" s="5" t="s">
        <v>29</v>
      </c>
      <c r="AN1" s="5" t="s">
        <v>30</v>
      </c>
    </row>
    <row r="2" spans="1:40" x14ac:dyDescent="0.35">
      <c r="A2" s="3">
        <v>1904</v>
      </c>
      <c r="B2" s="3">
        <v>1.046</v>
      </c>
      <c r="C2" s="3">
        <v>1.006</v>
      </c>
      <c r="D2" s="3">
        <v>4.1000000000000002E-2</v>
      </c>
      <c r="E2" s="3">
        <v>1.046</v>
      </c>
      <c r="F2">
        <v>1.006</v>
      </c>
      <c r="G2">
        <v>4.1000000000000002E-2</v>
      </c>
      <c r="H2" s="3">
        <v>0</v>
      </c>
      <c r="I2" s="3">
        <v>1.524</v>
      </c>
      <c r="J2" s="11">
        <v>5.5880000000000001</v>
      </c>
      <c r="K2" s="3">
        <v>0</v>
      </c>
      <c r="L2" s="3">
        <v>0</v>
      </c>
      <c r="M2" s="3">
        <v>1.524</v>
      </c>
      <c r="N2">
        <v>1.524</v>
      </c>
      <c r="O2" s="7">
        <v>5.5880000000000001</v>
      </c>
      <c r="P2" s="3">
        <v>0.47799999999999998</v>
      </c>
      <c r="Q2" s="3">
        <v>0.46100000000000002</v>
      </c>
      <c r="R2">
        <v>0.46100000000000002</v>
      </c>
      <c r="S2" s="3">
        <v>1.7000000000000001E-2</v>
      </c>
      <c r="T2" s="3">
        <v>1.7000000000000001E-2</v>
      </c>
      <c r="U2" s="3">
        <v>0.47800000000000004</v>
      </c>
      <c r="V2">
        <v>0.47800000000000004</v>
      </c>
      <c r="W2" s="7">
        <v>0.47067354225471048</v>
      </c>
      <c r="X2" s="7">
        <v>7.3264577452895677E-3</v>
      </c>
      <c r="Y2" s="8">
        <v>1.9700182464435905</v>
      </c>
      <c r="Z2" s="8">
        <f>O2-Y2</f>
        <v>3.6179817535564096</v>
      </c>
      <c r="AA2" s="7">
        <v>1.7258029882672716</v>
      </c>
      <c r="AB2" s="7">
        <v>0.24421525817631892</v>
      </c>
      <c r="AC2" s="5">
        <v>0.46100000000000002</v>
      </c>
      <c r="AD2" s="4">
        <v>0.46100000000000002</v>
      </c>
      <c r="AE2" s="5">
        <v>1.7000000000000001E-2</v>
      </c>
      <c r="AF2" s="4">
        <v>1.7000000000000001E-2</v>
      </c>
      <c r="AG2" s="4">
        <v>0.47799999999999998</v>
      </c>
      <c r="AH2" s="5">
        <v>0.47800000000000004</v>
      </c>
      <c r="AI2" s="9">
        <v>0.47067354225471048</v>
      </c>
      <c r="AJ2" s="9">
        <v>7.3264577452895677E-3</v>
      </c>
      <c r="AK2" s="10">
        <v>1.9700182464435905</v>
      </c>
      <c r="AL2" s="8">
        <f>AA2-AK2</f>
        <v>-0.24421525817631884</v>
      </c>
      <c r="AM2" s="9">
        <v>1.7258029882672716</v>
      </c>
      <c r="AN2" s="9">
        <v>0.24421525817631892</v>
      </c>
    </row>
    <row r="3" spans="1:40" x14ac:dyDescent="0.35">
      <c r="A3" s="3">
        <v>1905</v>
      </c>
      <c r="B3" s="3">
        <v>2.0489999999999999</v>
      </c>
      <c r="C3" s="3">
        <v>1.9330000000000001</v>
      </c>
      <c r="D3" s="3">
        <v>0.11700000000000001</v>
      </c>
      <c r="E3" s="3">
        <v>2.0489999999999999</v>
      </c>
      <c r="F3">
        <v>1.9330000000000001</v>
      </c>
      <c r="G3">
        <v>0.11700000000000001</v>
      </c>
      <c r="H3" s="3">
        <v>0</v>
      </c>
      <c r="I3" s="3">
        <v>1.486</v>
      </c>
      <c r="J3" s="11">
        <v>5.4486666666666661</v>
      </c>
      <c r="K3" s="3">
        <v>0</v>
      </c>
      <c r="L3" s="3">
        <v>7.5999999999999998E-2</v>
      </c>
      <c r="M3" s="3">
        <v>3.01</v>
      </c>
      <c r="N3">
        <v>1.4859999999999998</v>
      </c>
      <c r="O3" s="7">
        <v>5.4486666666666652</v>
      </c>
      <c r="P3" s="3">
        <v>0.96099999999999997</v>
      </c>
      <c r="Q3" s="3">
        <v>0.45</v>
      </c>
      <c r="R3">
        <v>0.91100000000000003</v>
      </c>
      <c r="S3" s="3">
        <v>3.3000000000000002E-2</v>
      </c>
      <c r="T3" s="3">
        <v>0.05</v>
      </c>
      <c r="U3" s="3">
        <v>0.96100000000000008</v>
      </c>
      <c r="V3">
        <v>0.48299999999999998</v>
      </c>
      <c r="W3" s="7">
        <v>0.47369322498696509</v>
      </c>
      <c r="X3" s="7">
        <v>9.3067750130349444E-3</v>
      </c>
      <c r="Y3" s="8">
        <v>2.04710099205337</v>
      </c>
      <c r="Z3" s="8">
        <f t="shared" ref="Z3:Z66" si="0">O3-Y3</f>
        <v>3.4015656746132952</v>
      </c>
      <c r="AA3" s="7">
        <v>1.7368751582855386</v>
      </c>
      <c r="AB3" s="7">
        <v>0.31022583376783147</v>
      </c>
      <c r="AC3" s="5">
        <v>0.45</v>
      </c>
      <c r="AD3" s="4">
        <v>0.91100000000000003</v>
      </c>
      <c r="AE3" s="5">
        <v>3.3000000000000002E-2</v>
      </c>
      <c r="AF3" s="4">
        <v>0.05</v>
      </c>
      <c r="AG3" s="4">
        <v>0.96099999999999997</v>
      </c>
      <c r="AH3" s="5">
        <v>0.48299999999999998</v>
      </c>
      <c r="AI3" s="9">
        <v>0.47369322498696509</v>
      </c>
      <c r="AJ3" s="9">
        <v>9.3067750130349444E-3</v>
      </c>
      <c r="AK3" s="10">
        <v>2.04710099205337</v>
      </c>
      <c r="AL3" s="8">
        <f t="shared" ref="AL3:AL66" si="1">AA3-AK3</f>
        <v>-0.31022583376783142</v>
      </c>
      <c r="AM3" s="9">
        <v>1.7368751582855386</v>
      </c>
      <c r="AN3" s="9">
        <v>0.31022583376783147</v>
      </c>
    </row>
    <row r="4" spans="1:40" x14ac:dyDescent="0.35">
      <c r="A4" s="3">
        <v>1906</v>
      </c>
      <c r="B4" s="3">
        <v>3.31</v>
      </c>
      <c r="C4" s="3">
        <v>3.0779999999999998</v>
      </c>
      <c r="D4" s="3">
        <v>0.23200000000000001</v>
      </c>
      <c r="E4" s="3">
        <v>3.31</v>
      </c>
      <c r="F4">
        <v>3.0779999999999998</v>
      </c>
      <c r="G4">
        <v>0.23200000000000001</v>
      </c>
      <c r="H4" s="3">
        <v>0</v>
      </c>
      <c r="I4" s="3">
        <v>1.8879999999999999</v>
      </c>
      <c r="J4" s="11">
        <v>6.9226666666666663</v>
      </c>
      <c r="K4" s="3">
        <v>0</v>
      </c>
      <c r="L4" s="3">
        <v>0.11600000000000001</v>
      </c>
      <c r="M4" s="3">
        <v>4.8979999999999997</v>
      </c>
      <c r="N4">
        <v>1.8879999999999999</v>
      </c>
      <c r="O4" s="7">
        <v>6.9226666666666663</v>
      </c>
      <c r="P4" s="3">
        <v>1.587</v>
      </c>
      <c r="Q4" s="3">
        <v>0.57099999999999995</v>
      </c>
      <c r="R4">
        <v>1.482</v>
      </c>
      <c r="S4" s="3">
        <v>5.4999999999999993E-2</v>
      </c>
      <c r="T4" s="3">
        <v>0.105</v>
      </c>
      <c r="U4" s="3">
        <v>1.587</v>
      </c>
      <c r="V4">
        <v>0.62599999999999989</v>
      </c>
      <c r="W4" s="7">
        <v>0.61243628496838387</v>
      </c>
      <c r="X4" s="7">
        <v>1.3563715031616089E-2</v>
      </c>
      <c r="Y4" s="8">
        <v>2.6977235459379436</v>
      </c>
      <c r="Z4" s="8">
        <f t="shared" si="0"/>
        <v>4.2249431207287227</v>
      </c>
      <c r="AA4" s="7">
        <v>2.2455997115507405</v>
      </c>
      <c r="AB4" s="7">
        <v>0.45212383438720294</v>
      </c>
      <c r="AC4" s="5">
        <v>0.57099999999999995</v>
      </c>
      <c r="AD4" s="4">
        <v>1.482</v>
      </c>
      <c r="AE4" s="5">
        <v>5.4999999999999993E-2</v>
      </c>
      <c r="AF4" s="4">
        <v>0.105</v>
      </c>
      <c r="AG4" s="4">
        <v>1.587</v>
      </c>
      <c r="AH4" s="5">
        <v>0.626</v>
      </c>
      <c r="AI4" s="9">
        <v>0.61243628496838387</v>
      </c>
      <c r="AJ4" s="9">
        <v>1.3563715031616089E-2</v>
      </c>
      <c r="AK4" s="10">
        <v>2.6977235459379436</v>
      </c>
      <c r="AL4" s="8">
        <f t="shared" si="1"/>
        <v>-0.45212383438720316</v>
      </c>
      <c r="AM4" s="9">
        <v>2.2455997115507405</v>
      </c>
      <c r="AN4" s="9">
        <v>0.45212383438720294</v>
      </c>
    </row>
    <row r="5" spans="1:40" x14ac:dyDescent="0.35">
      <c r="A5" s="3">
        <v>1907</v>
      </c>
      <c r="B5" s="3">
        <v>4.5510000000000002</v>
      </c>
      <c r="C5" s="3">
        <v>4.17</v>
      </c>
      <c r="D5" s="3">
        <v>0.38100000000000001</v>
      </c>
      <c r="E5" s="3">
        <v>4.5510000000000002</v>
      </c>
      <c r="F5">
        <v>4.17</v>
      </c>
      <c r="G5">
        <v>0.38100000000000001</v>
      </c>
      <c r="H5" s="3">
        <v>0</v>
      </c>
      <c r="I5" s="3">
        <v>1.891</v>
      </c>
      <c r="J5" s="11">
        <v>6.9336666666666664</v>
      </c>
      <c r="K5" s="3">
        <v>0</v>
      </c>
      <c r="L5" s="3">
        <v>0.14899999999999999</v>
      </c>
      <c r="M5" s="3">
        <v>6.7889999999999997</v>
      </c>
      <c r="N5">
        <v>1.891</v>
      </c>
      <c r="O5" s="7">
        <v>6.9336666666666664</v>
      </c>
      <c r="P5" s="3">
        <v>2.238</v>
      </c>
      <c r="Q5" s="3">
        <v>0.57199999999999984</v>
      </c>
      <c r="R5">
        <v>2.0539999999999998</v>
      </c>
      <c r="S5" s="3">
        <v>7.9000000000000001E-2</v>
      </c>
      <c r="T5" s="3">
        <v>0.184</v>
      </c>
      <c r="U5" s="3">
        <v>2.238</v>
      </c>
      <c r="V5">
        <v>0.6509999999999998</v>
      </c>
      <c r="W5" s="7">
        <v>0.63421767186655598</v>
      </c>
      <c r="X5" s="7">
        <v>1.678232813344388E-2</v>
      </c>
      <c r="Y5" s="8">
        <v>2.884875734625501</v>
      </c>
      <c r="Z5" s="8">
        <f t="shared" si="0"/>
        <v>4.0487909320411655</v>
      </c>
      <c r="AA5" s="7">
        <v>2.3254647968440381</v>
      </c>
      <c r="AB5" s="7">
        <v>0.55941093778146267</v>
      </c>
      <c r="AC5" s="5">
        <v>0.57199999999999984</v>
      </c>
      <c r="AD5" s="4">
        <v>2.0539999999999998</v>
      </c>
      <c r="AE5" s="5">
        <v>7.9000000000000001E-2</v>
      </c>
      <c r="AF5" s="4">
        <v>0.184</v>
      </c>
      <c r="AG5" s="4">
        <v>2.238</v>
      </c>
      <c r="AH5" s="5">
        <v>0.65100000000000002</v>
      </c>
      <c r="AI5" s="9">
        <v>0.63421767186655598</v>
      </c>
      <c r="AJ5" s="9">
        <v>1.678232813344388E-2</v>
      </c>
      <c r="AK5" s="10">
        <v>2.884875734625501</v>
      </c>
      <c r="AL5" s="8">
        <f t="shared" si="1"/>
        <v>-0.55941093778146289</v>
      </c>
      <c r="AM5" s="9">
        <v>2.3254647968440381</v>
      </c>
      <c r="AN5" s="9">
        <v>0.55941093778146267</v>
      </c>
    </row>
    <row r="6" spans="1:40" x14ac:dyDescent="0.35">
      <c r="A6" s="3">
        <v>1908</v>
      </c>
      <c r="B6" s="3">
        <v>5.4359999999999999</v>
      </c>
      <c r="C6" s="3">
        <v>4.8929999999999998</v>
      </c>
      <c r="D6" s="3">
        <v>0.54300000000000004</v>
      </c>
      <c r="E6" s="3">
        <v>5.4359999999999999</v>
      </c>
      <c r="F6">
        <v>4.8929999999999998</v>
      </c>
      <c r="G6">
        <v>0.54300000000000004</v>
      </c>
      <c r="H6" s="3">
        <v>0</v>
      </c>
      <c r="I6" s="3">
        <v>1.407</v>
      </c>
      <c r="J6" s="11">
        <v>5.1589999999999998</v>
      </c>
      <c r="K6" s="3">
        <v>0</v>
      </c>
      <c r="L6" s="3">
        <v>0.16200000000000001</v>
      </c>
      <c r="M6" s="3">
        <v>8.1969999999999992</v>
      </c>
      <c r="N6">
        <v>1.4079999999999995</v>
      </c>
      <c r="O6" s="7">
        <v>5.1626666666666647</v>
      </c>
      <c r="P6" s="3">
        <v>2.7610000000000001</v>
      </c>
      <c r="Q6" s="3">
        <v>0.42600000000000016</v>
      </c>
      <c r="R6">
        <v>2.48</v>
      </c>
      <c r="S6" s="3">
        <v>9.7000000000000031E-2</v>
      </c>
      <c r="T6" s="3">
        <v>0.28100000000000003</v>
      </c>
      <c r="U6" s="3">
        <v>2.7610000000000001</v>
      </c>
      <c r="V6">
        <v>0.52300000000000013</v>
      </c>
      <c r="W6" s="7">
        <v>0.50540039848924567</v>
      </c>
      <c r="X6" s="7">
        <v>1.7599601510754473E-2</v>
      </c>
      <c r="Y6" s="8">
        <v>2.4397881781523836</v>
      </c>
      <c r="Z6" s="8">
        <f t="shared" si="0"/>
        <v>2.7228784885142812</v>
      </c>
      <c r="AA6" s="7">
        <v>1.8531347944605676</v>
      </c>
      <c r="AB6" s="7">
        <v>0.58665338369181574</v>
      </c>
      <c r="AC6" s="5">
        <v>0.42600000000000016</v>
      </c>
      <c r="AD6" s="4">
        <v>2.48</v>
      </c>
      <c r="AE6" s="5">
        <v>9.7000000000000031E-2</v>
      </c>
      <c r="AF6" s="4">
        <v>0.28100000000000003</v>
      </c>
      <c r="AG6" s="4">
        <v>2.7610000000000001</v>
      </c>
      <c r="AH6" s="5">
        <v>0.52300000000000013</v>
      </c>
      <c r="AI6" s="9">
        <v>0.50540039848924567</v>
      </c>
      <c r="AJ6" s="9">
        <v>1.7599601510754473E-2</v>
      </c>
      <c r="AK6" s="10">
        <v>2.4397881781523836</v>
      </c>
      <c r="AL6" s="8">
        <f t="shared" si="1"/>
        <v>-0.58665338369181597</v>
      </c>
      <c r="AM6" s="9">
        <v>1.8531347944605676</v>
      </c>
      <c r="AN6" s="9">
        <v>0.58665338369181574</v>
      </c>
    </row>
    <row r="7" spans="1:40" x14ac:dyDescent="0.35">
      <c r="A7" s="3">
        <v>1909</v>
      </c>
      <c r="B7" s="3">
        <v>6.4459999999999997</v>
      </c>
      <c r="C7" s="3">
        <v>5.7249999999999996</v>
      </c>
      <c r="D7" s="3">
        <v>0.72099999999999997</v>
      </c>
      <c r="E7" s="3">
        <v>6.4459999999999997</v>
      </c>
      <c r="F7">
        <v>5.7249999999999996</v>
      </c>
      <c r="G7">
        <v>0.72099999999999997</v>
      </c>
      <c r="H7" s="3">
        <v>0</v>
      </c>
      <c r="I7" s="3">
        <v>1.6160000000000001</v>
      </c>
      <c r="J7" s="11">
        <v>5.9253333333333336</v>
      </c>
      <c r="K7" s="3">
        <v>0</v>
      </c>
      <c r="L7" s="3">
        <v>0.17799999999999999</v>
      </c>
      <c r="M7" s="3">
        <v>9.8129999999999988</v>
      </c>
      <c r="N7">
        <v>1.6160000000000014</v>
      </c>
      <c r="O7" s="7">
        <v>5.925333333333338</v>
      </c>
      <c r="P7" s="3">
        <v>3.367</v>
      </c>
      <c r="Q7" s="3">
        <v>0.48899999999999988</v>
      </c>
      <c r="R7">
        <v>2.9689999999999999</v>
      </c>
      <c r="S7" s="3">
        <v>0.11699999999999999</v>
      </c>
      <c r="T7" s="3">
        <v>0.39800000000000002</v>
      </c>
      <c r="U7" s="3">
        <v>3.367</v>
      </c>
      <c r="V7">
        <v>0.60599999999999987</v>
      </c>
      <c r="W7" s="7">
        <v>0.58504182789416803</v>
      </c>
      <c r="X7" s="7">
        <v>2.0958172105831813E-2</v>
      </c>
      <c r="Y7" s="8">
        <v>2.8437591058063432</v>
      </c>
      <c r="Z7" s="8">
        <f t="shared" si="0"/>
        <v>3.0815742275269948</v>
      </c>
      <c r="AA7" s="7">
        <v>2.1451533689452829</v>
      </c>
      <c r="AB7" s="7">
        <v>0.69860573686106031</v>
      </c>
      <c r="AC7" s="5">
        <v>0.48899999999999988</v>
      </c>
      <c r="AD7" s="4">
        <v>2.9689999999999999</v>
      </c>
      <c r="AE7" s="5">
        <v>0.11699999999999999</v>
      </c>
      <c r="AF7" s="4">
        <v>0.39800000000000002</v>
      </c>
      <c r="AG7" s="4">
        <v>3.367</v>
      </c>
      <c r="AH7" s="5">
        <v>0.60599999999999987</v>
      </c>
      <c r="AI7" s="9">
        <v>0.58504182789416803</v>
      </c>
      <c r="AJ7" s="9">
        <v>2.0958172105831813E-2</v>
      </c>
      <c r="AK7" s="10">
        <v>2.8437591058063432</v>
      </c>
      <c r="AL7" s="8">
        <f t="shared" si="1"/>
        <v>-0.69860573686106031</v>
      </c>
      <c r="AM7" s="9">
        <v>2.1451533689452829</v>
      </c>
      <c r="AN7" s="9">
        <v>0.69860573686106031</v>
      </c>
    </row>
    <row r="8" spans="1:40" x14ac:dyDescent="0.35">
      <c r="A8" s="3">
        <v>1910</v>
      </c>
      <c r="B8" s="3">
        <v>7.5419999999999998</v>
      </c>
      <c r="C8" s="3">
        <v>6.6269999999999998</v>
      </c>
      <c r="D8" s="3">
        <v>0.91500000000000004</v>
      </c>
      <c r="E8" s="3">
        <v>7.5419999999999998</v>
      </c>
      <c r="F8">
        <v>6.6269999999999998</v>
      </c>
      <c r="G8">
        <v>0.91500000000000004</v>
      </c>
      <c r="H8" s="3">
        <v>0</v>
      </c>
      <c r="I8" s="3">
        <v>1.772</v>
      </c>
      <c r="J8" s="11">
        <v>6.4973333333333327</v>
      </c>
      <c r="K8" s="3">
        <v>0</v>
      </c>
      <c r="L8" s="3">
        <v>0.19400000000000001</v>
      </c>
      <c r="M8" s="3">
        <v>11.586</v>
      </c>
      <c r="N8">
        <v>1.7720000000000002</v>
      </c>
      <c r="O8" s="7">
        <v>6.4973333333333336</v>
      </c>
      <c r="P8" s="3">
        <v>4.0439999999999996</v>
      </c>
      <c r="Q8" s="3">
        <v>0.53699999999999992</v>
      </c>
      <c r="R8">
        <v>3.5059999999999998</v>
      </c>
      <c r="S8" s="3">
        <v>0.14000000000000001</v>
      </c>
      <c r="T8" s="3">
        <v>0.53800000000000003</v>
      </c>
      <c r="U8" s="3">
        <v>4.0439999999999996</v>
      </c>
      <c r="V8">
        <v>0.67699999999999994</v>
      </c>
      <c r="W8" s="7">
        <v>0.65244549544870156</v>
      </c>
      <c r="X8" s="7">
        <v>2.4554504551298401E-2</v>
      </c>
      <c r="Y8" s="8">
        <v>3.2107836350218522</v>
      </c>
      <c r="Z8" s="8">
        <f t="shared" si="0"/>
        <v>3.2865496983114815</v>
      </c>
      <c r="AA8" s="7">
        <v>2.3923001499785723</v>
      </c>
      <c r="AB8" s="7">
        <v>0.81848348504328006</v>
      </c>
      <c r="AC8" s="5">
        <v>0.53699999999999992</v>
      </c>
      <c r="AD8" s="4">
        <v>3.5059999999999998</v>
      </c>
      <c r="AE8" s="5">
        <v>0.14000000000000001</v>
      </c>
      <c r="AF8" s="4">
        <v>0.53800000000000003</v>
      </c>
      <c r="AG8" s="4">
        <v>4.0439999999999996</v>
      </c>
      <c r="AH8" s="5">
        <v>0.6769999999999996</v>
      </c>
      <c r="AI8" s="9">
        <v>0.65244549544870156</v>
      </c>
      <c r="AJ8" s="9">
        <v>2.4554504551298401E-2</v>
      </c>
      <c r="AK8" s="10">
        <v>3.2107836350218522</v>
      </c>
      <c r="AL8" s="8">
        <f t="shared" si="1"/>
        <v>-0.81848348504327983</v>
      </c>
      <c r="AM8" s="9">
        <v>2.3923001499785723</v>
      </c>
      <c r="AN8" s="9">
        <v>0.81848348504328006</v>
      </c>
    </row>
    <row r="9" spans="1:40" x14ac:dyDescent="0.35">
      <c r="A9" s="3">
        <v>1911</v>
      </c>
      <c r="B9" s="3">
        <v>8.57</v>
      </c>
      <c r="C9" s="3">
        <v>7.45</v>
      </c>
      <c r="D9" s="3">
        <v>1.1200000000000001</v>
      </c>
      <c r="E9" s="3">
        <v>8.57</v>
      </c>
      <c r="F9">
        <v>7.45</v>
      </c>
      <c r="G9">
        <v>1.1200000000000001</v>
      </c>
      <c r="H9" s="3">
        <v>0</v>
      </c>
      <c r="I9" s="3">
        <v>1.706</v>
      </c>
      <c r="J9" s="11">
        <v>6.2553333333333327</v>
      </c>
      <c r="K9" s="3">
        <v>0</v>
      </c>
      <c r="L9" s="3">
        <v>0.20499999999999999</v>
      </c>
      <c r="M9" s="3">
        <v>13.291</v>
      </c>
      <c r="N9">
        <v>1.7059999999999995</v>
      </c>
      <c r="O9" s="7">
        <v>6.255333333333331</v>
      </c>
      <c r="P9" s="3">
        <v>4.7210000000000001</v>
      </c>
      <c r="Q9" s="3">
        <v>0.51600000000000046</v>
      </c>
      <c r="R9">
        <v>4.0220000000000002</v>
      </c>
      <c r="S9" s="3">
        <v>0.16099999999999992</v>
      </c>
      <c r="T9" s="3">
        <v>0.69899999999999995</v>
      </c>
      <c r="U9" s="3">
        <v>4.7210000000000001</v>
      </c>
      <c r="V9">
        <v>0.67700000000000038</v>
      </c>
      <c r="W9" s="7">
        <v>0.64986721590844043</v>
      </c>
      <c r="X9" s="7">
        <v>2.7132784091559947E-2</v>
      </c>
      <c r="Y9" s="8">
        <v>3.2872725947162795</v>
      </c>
      <c r="Z9" s="8">
        <f t="shared" si="0"/>
        <v>2.9680607386170514</v>
      </c>
      <c r="AA9" s="7">
        <v>2.3828464583309481</v>
      </c>
      <c r="AB9" s="7">
        <v>0.90442613638533154</v>
      </c>
      <c r="AC9" s="5">
        <v>0.51600000000000046</v>
      </c>
      <c r="AD9" s="4">
        <v>4.0220000000000002</v>
      </c>
      <c r="AE9" s="5">
        <v>0.16099999999999992</v>
      </c>
      <c r="AF9" s="4">
        <v>0.69899999999999995</v>
      </c>
      <c r="AG9" s="4">
        <v>4.7210000000000001</v>
      </c>
      <c r="AH9" s="5">
        <v>0.67700000000000049</v>
      </c>
      <c r="AI9" s="9">
        <v>0.64986721590844043</v>
      </c>
      <c r="AJ9" s="9">
        <v>2.7132784091559947E-2</v>
      </c>
      <c r="AK9" s="10">
        <v>3.2872725947162795</v>
      </c>
      <c r="AL9" s="8">
        <f t="shared" si="1"/>
        <v>-0.90442613638533143</v>
      </c>
      <c r="AM9" s="9">
        <v>2.3828464583309481</v>
      </c>
      <c r="AN9" s="9">
        <v>0.90442613638533154</v>
      </c>
    </row>
    <row r="10" spans="1:40" x14ac:dyDescent="0.35">
      <c r="A10" s="3">
        <v>1912</v>
      </c>
      <c r="B10" s="3">
        <v>9.5820000000000007</v>
      </c>
      <c r="C10" s="3">
        <v>8.2490000000000006</v>
      </c>
      <c r="D10" s="3">
        <v>1.333</v>
      </c>
      <c r="E10" s="3">
        <v>9.5820000000000007</v>
      </c>
      <c r="F10">
        <v>8.2479999999999993</v>
      </c>
      <c r="G10">
        <v>1.333</v>
      </c>
      <c r="H10" s="3">
        <v>0</v>
      </c>
      <c r="I10" s="3">
        <v>1.7130000000000001</v>
      </c>
      <c r="J10" s="11">
        <v>6.2809999999999997</v>
      </c>
      <c r="K10" s="3">
        <v>0</v>
      </c>
      <c r="L10" s="3">
        <v>0.214</v>
      </c>
      <c r="M10" s="3">
        <v>15.004</v>
      </c>
      <c r="N10">
        <v>1.7129999999999992</v>
      </c>
      <c r="O10" s="7">
        <v>6.280999999999997</v>
      </c>
      <c r="P10" s="3">
        <v>5.4219999999999997</v>
      </c>
      <c r="Q10" s="3">
        <v>0.51799999999999979</v>
      </c>
      <c r="R10">
        <v>4.54</v>
      </c>
      <c r="S10" s="3">
        <v>0.18300000000000005</v>
      </c>
      <c r="T10" s="3">
        <v>0.88200000000000001</v>
      </c>
      <c r="U10" s="3">
        <v>5.4219999999999997</v>
      </c>
      <c r="V10">
        <v>0.70099999999999985</v>
      </c>
      <c r="W10" s="7">
        <v>0.67090503355553621</v>
      </c>
      <c r="X10" s="7">
        <v>3.0094966444463606E-2</v>
      </c>
      <c r="Y10" s="8">
        <v>3.4631506711857529</v>
      </c>
      <c r="Z10" s="8">
        <f t="shared" si="0"/>
        <v>2.8178493288142441</v>
      </c>
      <c r="AA10" s="7">
        <v>2.459985123036966</v>
      </c>
      <c r="AB10" s="7">
        <v>1.0031655481487869</v>
      </c>
      <c r="AC10" s="5">
        <v>0.51799999999999979</v>
      </c>
      <c r="AD10" s="4">
        <v>4.54</v>
      </c>
      <c r="AE10" s="5">
        <v>0.18300000000000005</v>
      </c>
      <c r="AF10" s="4">
        <v>0.88200000000000001</v>
      </c>
      <c r="AG10" s="4">
        <v>5.4219999999999997</v>
      </c>
      <c r="AH10" s="5">
        <v>0.70099999999999962</v>
      </c>
      <c r="AI10" s="9">
        <v>0.67090503355553621</v>
      </c>
      <c r="AJ10" s="9">
        <v>3.0094966444463606E-2</v>
      </c>
      <c r="AK10" s="10">
        <v>3.4631506711857529</v>
      </c>
      <c r="AL10" s="8">
        <f t="shared" ref="AL10:AL73" si="2">J10-AK10</f>
        <v>2.8178493288142468</v>
      </c>
      <c r="AM10" s="9">
        <v>2.459985123036966</v>
      </c>
      <c r="AN10" s="9">
        <v>1.0031655481487869</v>
      </c>
    </row>
    <row r="11" spans="1:40" x14ac:dyDescent="0.35">
      <c r="A11" s="3">
        <v>1913</v>
      </c>
      <c r="B11" s="3">
        <v>10.551</v>
      </c>
      <c r="C11" s="3">
        <v>8.9980000000000011</v>
      </c>
      <c r="D11" s="3">
        <v>1.5529999999999999</v>
      </c>
      <c r="E11" s="3">
        <v>10.551</v>
      </c>
      <c r="F11">
        <v>8.9990000000000006</v>
      </c>
      <c r="G11">
        <v>1.5529999999999999</v>
      </c>
      <c r="H11" s="3">
        <v>0</v>
      </c>
      <c r="I11" s="3">
        <v>1.6830000000000001</v>
      </c>
      <c r="J11" s="11">
        <v>6.1710000000000003</v>
      </c>
      <c r="K11" s="3">
        <v>0</v>
      </c>
      <c r="L11" s="3">
        <v>0.219</v>
      </c>
      <c r="M11" s="3">
        <v>16.686</v>
      </c>
      <c r="N11">
        <v>1.6830000000000016</v>
      </c>
      <c r="O11" s="7">
        <v>6.1710000000000056</v>
      </c>
      <c r="P11" s="3">
        <v>6.1349999999999998</v>
      </c>
      <c r="Q11" s="3">
        <v>0.50900000000000034</v>
      </c>
      <c r="R11">
        <v>5.0490000000000004</v>
      </c>
      <c r="S11" s="3">
        <v>0.20400000000000007</v>
      </c>
      <c r="T11" s="3">
        <v>1.0860000000000001</v>
      </c>
      <c r="U11" s="3">
        <v>6.1350000000000007</v>
      </c>
      <c r="V11" s="7">
        <v>0.71300000000000041</v>
      </c>
      <c r="W11" s="7">
        <v>0.68019619021705569</v>
      </c>
      <c r="X11" s="7">
        <v>3.2803809782944698E-2</v>
      </c>
      <c r="Y11" s="8">
        <v>3.5875130235606942</v>
      </c>
      <c r="Z11" s="8">
        <f t="shared" si="0"/>
        <v>2.5834869764393114</v>
      </c>
      <c r="AA11" s="7">
        <v>2.4940526974625374</v>
      </c>
      <c r="AB11" s="7">
        <v>1.0934603260981566</v>
      </c>
      <c r="AC11" s="5">
        <v>0.50900000000000034</v>
      </c>
      <c r="AD11" s="4">
        <v>5.0490000000000004</v>
      </c>
      <c r="AE11" s="5">
        <v>0.20400000000000007</v>
      </c>
      <c r="AF11" s="4">
        <v>1.0860000000000001</v>
      </c>
      <c r="AG11" s="4">
        <v>6.1349999999999998</v>
      </c>
      <c r="AH11" s="5">
        <v>0.71300000000000008</v>
      </c>
      <c r="AI11" s="9">
        <v>0.68019619021705569</v>
      </c>
      <c r="AJ11" s="9">
        <v>3.2803809782944698E-2</v>
      </c>
      <c r="AK11" s="10">
        <v>3.5875130235606942</v>
      </c>
      <c r="AL11" s="8">
        <f t="shared" si="2"/>
        <v>2.583486976439306</v>
      </c>
      <c r="AM11" s="9">
        <v>2.4940526974625374</v>
      </c>
      <c r="AN11" s="9">
        <v>1.0934603260981566</v>
      </c>
    </row>
    <row r="12" spans="1:40" x14ac:dyDescent="0.35">
      <c r="A12" s="3">
        <v>1914</v>
      </c>
      <c r="B12" s="3">
        <v>11.613</v>
      </c>
      <c r="C12" s="3">
        <v>9.8339999999999996</v>
      </c>
      <c r="D12" s="3">
        <v>1.7789999999999999</v>
      </c>
      <c r="E12" s="3">
        <v>11.613</v>
      </c>
      <c r="F12">
        <v>9.8330000000000002</v>
      </c>
      <c r="G12">
        <v>1.7789999999999999</v>
      </c>
      <c r="H12" s="3">
        <v>0</v>
      </c>
      <c r="I12" s="3">
        <v>1.8460000000000001</v>
      </c>
      <c r="J12" s="11">
        <v>6.7686666666666664</v>
      </c>
      <c r="K12" s="3">
        <v>0</v>
      </c>
      <c r="L12" s="3">
        <v>0.22700000000000001</v>
      </c>
      <c r="M12" s="3">
        <v>18.533000000000001</v>
      </c>
      <c r="N12">
        <v>1.8460000000000001</v>
      </c>
      <c r="O12" s="7">
        <v>6.7686666666666664</v>
      </c>
      <c r="P12" s="3">
        <v>6.92</v>
      </c>
      <c r="Q12" s="3">
        <v>0.55899999999999928</v>
      </c>
      <c r="R12">
        <v>5.6079999999999997</v>
      </c>
      <c r="S12" s="3">
        <v>0.22599999999999998</v>
      </c>
      <c r="T12" s="3">
        <v>1.3120000000000001</v>
      </c>
      <c r="U12" s="3">
        <v>6.92</v>
      </c>
      <c r="V12" s="7">
        <v>0.78499999999999925</v>
      </c>
      <c r="W12" s="7">
        <v>0.74871175267127255</v>
      </c>
      <c r="X12" s="7">
        <v>3.6288247328726764E-2</v>
      </c>
      <c r="Y12" s="8">
        <v>3.9548846707522247</v>
      </c>
      <c r="Z12" s="8">
        <f t="shared" si="0"/>
        <v>2.8137819959144417</v>
      </c>
      <c r="AA12" s="7">
        <v>2.7452764264613325</v>
      </c>
      <c r="AB12" s="7">
        <v>1.2096082442908922</v>
      </c>
      <c r="AC12" s="5">
        <v>0.55899999999999928</v>
      </c>
      <c r="AD12" s="4">
        <v>5.6079999999999997</v>
      </c>
      <c r="AE12" s="5">
        <v>0.22599999999999998</v>
      </c>
      <c r="AF12" s="4">
        <v>1.3120000000000001</v>
      </c>
      <c r="AG12" s="4">
        <v>6.92</v>
      </c>
      <c r="AH12" s="5">
        <v>0.78500000000000014</v>
      </c>
      <c r="AI12" s="9">
        <v>0.74871175267127255</v>
      </c>
      <c r="AJ12" s="9">
        <v>3.6288247328726764E-2</v>
      </c>
      <c r="AK12" s="10">
        <v>3.9548846707522247</v>
      </c>
      <c r="AL12" s="8">
        <f t="shared" si="2"/>
        <v>2.8137819959144417</v>
      </c>
      <c r="AM12" s="9">
        <v>2.7452764264613325</v>
      </c>
      <c r="AN12" s="9">
        <v>1.2096082442908922</v>
      </c>
    </row>
    <row r="13" spans="1:40" x14ac:dyDescent="0.35">
      <c r="A13" s="3">
        <v>1915</v>
      </c>
      <c r="B13" s="3">
        <v>12.461</v>
      </c>
      <c r="C13" s="3">
        <v>10.457000000000001</v>
      </c>
      <c r="D13" s="3">
        <v>2.004</v>
      </c>
      <c r="E13" s="3">
        <v>12.461</v>
      </c>
      <c r="F13">
        <v>10.456</v>
      </c>
      <c r="G13">
        <v>2.004</v>
      </c>
      <c r="H13" s="3">
        <v>0</v>
      </c>
      <c r="I13" s="3">
        <v>1.5669999999999999</v>
      </c>
      <c r="J13" s="11">
        <v>5.7456666666666658</v>
      </c>
      <c r="K13" s="3">
        <v>0</v>
      </c>
      <c r="L13" s="3">
        <v>0.22500000000000001</v>
      </c>
      <c r="M13" s="3">
        <v>20.099999999999998</v>
      </c>
      <c r="N13">
        <v>1.5670000000000002</v>
      </c>
      <c r="O13" s="7">
        <v>5.7456666666666667</v>
      </c>
      <c r="P13" s="3">
        <v>7.6390000000000002</v>
      </c>
      <c r="Q13" s="3">
        <v>0.4740000000000002</v>
      </c>
      <c r="R13">
        <v>6.0819999999999999</v>
      </c>
      <c r="S13" s="3">
        <v>0.24499999999999988</v>
      </c>
      <c r="T13" s="3">
        <v>1.5569999999999999</v>
      </c>
      <c r="U13" s="3">
        <v>7.6389999999999993</v>
      </c>
      <c r="V13" s="7">
        <v>0.71900000000000008</v>
      </c>
      <c r="W13" s="7">
        <v>0.68109712445362547</v>
      </c>
      <c r="X13" s="7">
        <v>3.790287554637467E-2</v>
      </c>
      <c r="Y13" s="8">
        <v>3.760785307875782</v>
      </c>
      <c r="Z13" s="8">
        <f t="shared" si="0"/>
        <v>1.9848813587908847</v>
      </c>
      <c r="AA13" s="7">
        <v>2.4973561229966261</v>
      </c>
      <c r="AB13" s="7">
        <v>1.2634291848791557</v>
      </c>
      <c r="AC13" s="5">
        <v>0.4740000000000002</v>
      </c>
      <c r="AD13" s="4">
        <v>6.0819999999999999</v>
      </c>
      <c r="AE13" s="5">
        <v>0.24499999999999988</v>
      </c>
      <c r="AF13" s="4">
        <v>1.5569999999999999</v>
      </c>
      <c r="AG13" s="4">
        <v>7.6390000000000002</v>
      </c>
      <c r="AH13" s="5">
        <v>0.71900000000000031</v>
      </c>
      <c r="AI13" s="9">
        <v>0.68109712445362547</v>
      </c>
      <c r="AJ13" s="9">
        <v>3.790287554637467E-2</v>
      </c>
      <c r="AK13" s="10">
        <v>3.760785307875782</v>
      </c>
      <c r="AL13" s="8">
        <f t="shared" si="2"/>
        <v>1.9848813587908838</v>
      </c>
      <c r="AM13" s="9">
        <v>2.4973561229966261</v>
      </c>
      <c r="AN13" s="9">
        <v>1.2634291848791557</v>
      </c>
    </row>
    <row r="14" spans="1:40" x14ac:dyDescent="0.35">
      <c r="A14" s="3">
        <v>1916</v>
      </c>
      <c r="B14" s="3">
        <v>13.573</v>
      </c>
      <c r="C14" s="3">
        <v>11.335000000000001</v>
      </c>
      <c r="D14" s="3">
        <v>2.238</v>
      </c>
      <c r="E14" s="3">
        <v>13.573</v>
      </c>
      <c r="F14">
        <v>11.335000000000001</v>
      </c>
      <c r="G14">
        <v>2.238</v>
      </c>
      <c r="H14" s="3">
        <v>0</v>
      </c>
      <c r="I14" s="3">
        <v>1.9790000000000001</v>
      </c>
      <c r="J14" s="11">
        <v>7.2563333333333331</v>
      </c>
      <c r="K14" s="3">
        <v>0</v>
      </c>
      <c r="L14" s="3">
        <v>0.23300000000000001</v>
      </c>
      <c r="M14" s="3">
        <v>22.079000000000001</v>
      </c>
      <c r="N14">
        <v>1.9789999999999992</v>
      </c>
      <c r="O14" s="7">
        <v>7.2563333333333304</v>
      </c>
      <c r="P14" s="3">
        <v>8.5060000000000002</v>
      </c>
      <c r="Q14" s="3">
        <v>0.5990000000000002</v>
      </c>
      <c r="R14">
        <v>6.681</v>
      </c>
      <c r="S14" s="3">
        <v>0.26800000000000002</v>
      </c>
      <c r="T14" s="3">
        <v>1.825</v>
      </c>
      <c r="U14" s="3">
        <v>8.5060000000000002</v>
      </c>
      <c r="V14" s="7">
        <v>0.86700000000000021</v>
      </c>
      <c r="W14" s="7">
        <v>0.82466300763625</v>
      </c>
      <c r="X14" s="7">
        <v>4.2336992363750214E-2</v>
      </c>
      <c r="Y14" s="8">
        <v>4.4349974401245902</v>
      </c>
      <c r="Z14" s="8">
        <f t="shared" si="0"/>
        <v>2.8213358932087402</v>
      </c>
      <c r="AA14" s="7">
        <v>3.0237643613329164</v>
      </c>
      <c r="AB14" s="7">
        <v>1.4112330787916738</v>
      </c>
      <c r="AC14" s="5">
        <v>0.5990000000000002</v>
      </c>
      <c r="AD14" s="4">
        <v>6.681</v>
      </c>
      <c r="AE14" s="5">
        <v>0.26800000000000002</v>
      </c>
      <c r="AF14" s="4">
        <v>1.825</v>
      </c>
      <c r="AG14" s="4">
        <v>8.5060000000000002</v>
      </c>
      <c r="AH14" s="5">
        <v>0.86699999999999999</v>
      </c>
      <c r="AI14" s="9">
        <v>0.82466300763625</v>
      </c>
      <c r="AJ14" s="9">
        <v>4.2336992363750214E-2</v>
      </c>
      <c r="AK14" s="10">
        <v>4.4349974401245902</v>
      </c>
      <c r="AL14" s="8">
        <f t="shared" si="2"/>
        <v>2.8213358932087429</v>
      </c>
      <c r="AM14" s="9">
        <v>3.0237643613329164</v>
      </c>
      <c r="AN14" s="9">
        <v>1.4112330787916738</v>
      </c>
    </row>
    <row r="15" spans="1:40" x14ac:dyDescent="0.35">
      <c r="A15" s="3">
        <v>1917</v>
      </c>
      <c r="B15" s="3">
        <v>14.666</v>
      </c>
      <c r="C15" s="3">
        <v>12.188000000000001</v>
      </c>
      <c r="D15" s="3">
        <v>2.4780000000000002</v>
      </c>
      <c r="E15" s="3">
        <v>14.666</v>
      </c>
      <c r="F15">
        <v>12.188000000000001</v>
      </c>
      <c r="G15">
        <v>2.4780000000000002</v>
      </c>
      <c r="H15" s="3">
        <v>0</v>
      </c>
      <c r="I15" s="3">
        <v>1.9830000000000001</v>
      </c>
      <c r="J15" s="11">
        <v>7.2709999999999999</v>
      </c>
      <c r="K15" s="3">
        <v>0</v>
      </c>
      <c r="L15" s="3">
        <v>0.24</v>
      </c>
      <c r="M15" s="3">
        <v>24.061999999999998</v>
      </c>
      <c r="N15">
        <v>1.9830000000000005</v>
      </c>
      <c r="O15" s="7">
        <v>7.2710000000000017</v>
      </c>
      <c r="P15" s="3">
        <v>9.3960000000000008</v>
      </c>
      <c r="Q15" s="3">
        <v>0.59999999999999964</v>
      </c>
      <c r="R15">
        <v>7.2809999999999997</v>
      </c>
      <c r="S15" s="3">
        <v>0.29000000000000026</v>
      </c>
      <c r="T15" s="3">
        <v>2.1150000000000002</v>
      </c>
      <c r="U15" s="3">
        <v>9.3960000000000008</v>
      </c>
      <c r="V15" s="7">
        <v>0.8899999999999999</v>
      </c>
      <c r="W15" s="7">
        <v>0.8447117055998643</v>
      </c>
      <c r="X15" s="7">
        <v>4.5288294400135654E-2</v>
      </c>
      <c r="Y15" s="8">
        <v>4.6068860672040239</v>
      </c>
      <c r="Z15" s="8">
        <f t="shared" si="0"/>
        <v>2.6641139327959777</v>
      </c>
      <c r="AA15" s="7">
        <v>3.0972762538661689</v>
      </c>
      <c r="AB15" s="7">
        <v>1.509609813337855</v>
      </c>
      <c r="AC15" s="5">
        <v>0.59999999999999964</v>
      </c>
      <c r="AD15" s="4">
        <v>7.2809999999999997</v>
      </c>
      <c r="AE15" s="5">
        <v>0.29000000000000026</v>
      </c>
      <c r="AF15" s="4">
        <v>2.1150000000000002</v>
      </c>
      <c r="AG15" s="4">
        <v>9.3960000000000008</v>
      </c>
      <c r="AH15" s="5">
        <v>0.89000000000000057</v>
      </c>
      <c r="AI15" s="9">
        <v>0.8447117055998643</v>
      </c>
      <c r="AJ15" s="9">
        <v>4.5288294400135654E-2</v>
      </c>
      <c r="AK15" s="10">
        <v>4.6068860672040239</v>
      </c>
      <c r="AL15" s="8">
        <f t="shared" si="2"/>
        <v>2.664113932795976</v>
      </c>
      <c r="AM15" s="9">
        <v>3.0972762538661689</v>
      </c>
      <c r="AN15" s="9">
        <v>1.509609813337855</v>
      </c>
    </row>
    <row r="16" spans="1:40" x14ac:dyDescent="0.35">
      <c r="A16" s="3">
        <v>1918</v>
      </c>
      <c r="B16" s="3">
        <v>15.603</v>
      </c>
      <c r="C16" s="3">
        <v>12.885999999999999</v>
      </c>
      <c r="D16" s="3">
        <v>2.7170000000000001</v>
      </c>
      <c r="E16" s="3">
        <v>15.603</v>
      </c>
      <c r="F16">
        <v>12.885999999999999</v>
      </c>
      <c r="G16">
        <v>2.7170000000000001</v>
      </c>
      <c r="H16" s="3">
        <v>0</v>
      </c>
      <c r="I16" s="3">
        <v>1.788</v>
      </c>
      <c r="J16" s="11">
        <v>6.556</v>
      </c>
      <c r="K16" s="3">
        <v>0</v>
      </c>
      <c r="L16" s="3">
        <v>0.23899999999999999</v>
      </c>
      <c r="M16" s="3">
        <v>25.85</v>
      </c>
      <c r="N16">
        <v>1.7880000000000003</v>
      </c>
      <c r="O16" s="7">
        <v>6.5560000000000009</v>
      </c>
      <c r="P16" s="3">
        <v>10.247</v>
      </c>
      <c r="Q16" s="3">
        <v>0.54100000000000037</v>
      </c>
      <c r="R16">
        <v>7.8220000000000001</v>
      </c>
      <c r="S16" s="3">
        <v>0.30999999999999961</v>
      </c>
      <c r="T16" s="3">
        <v>2.4249999999999998</v>
      </c>
      <c r="U16" s="3">
        <v>10.247</v>
      </c>
      <c r="V16" s="7">
        <v>0.85099999999999998</v>
      </c>
      <c r="W16" s="7">
        <v>0.80368053362001945</v>
      </c>
      <c r="X16" s="7">
        <v>4.7319466379980524E-2</v>
      </c>
      <c r="Y16" s="8">
        <v>4.5241441692727555</v>
      </c>
      <c r="Z16" s="8">
        <f t="shared" si="0"/>
        <v>2.0318558307272454</v>
      </c>
      <c r="AA16" s="7">
        <v>2.9468286232734044</v>
      </c>
      <c r="AB16" s="7">
        <v>1.5773155459993509</v>
      </c>
      <c r="AC16" s="5">
        <v>0.54100000000000037</v>
      </c>
      <c r="AD16" s="4">
        <v>7.8220000000000001</v>
      </c>
      <c r="AE16" s="5">
        <v>0.30999999999999961</v>
      </c>
      <c r="AF16" s="4">
        <v>2.4249999999999998</v>
      </c>
      <c r="AG16" s="4">
        <v>10.247</v>
      </c>
      <c r="AH16" s="5">
        <v>0.85099999999999909</v>
      </c>
      <c r="AI16" s="9">
        <v>0.80368053362001945</v>
      </c>
      <c r="AJ16" s="9">
        <v>4.7319466379980524E-2</v>
      </c>
      <c r="AK16" s="10">
        <v>4.5241441692727555</v>
      </c>
      <c r="AL16" s="8">
        <f t="shared" si="2"/>
        <v>2.0318558307272445</v>
      </c>
      <c r="AM16" s="9">
        <v>2.9468286232734044</v>
      </c>
      <c r="AN16" s="9">
        <v>1.5773155459993509</v>
      </c>
    </row>
    <row r="17" spans="1:40" x14ac:dyDescent="0.35">
      <c r="A17" s="3">
        <v>1919</v>
      </c>
      <c r="B17" s="3">
        <v>16.523</v>
      </c>
      <c r="C17" s="3">
        <v>13.568</v>
      </c>
      <c r="D17" s="3">
        <v>2.9550000000000001</v>
      </c>
      <c r="E17" s="3">
        <v>16.523</v>
      </c>
      <c r="F17">
        <v>13.569000000000001</v>
      </c>
      <c r="G17">
        <v>2.9550000000000001</v>
      </c>
      <c r="H17" s="3">
        <v>0</v>
      </c>
      <c r="I17" s="3">
        <v>1.792</v>
      </c>
      <c r="J17" s="11">
        <v>6.5706666666666669</v>
      </c>
      <c r="K17" s="3">
        <v>0</v>
      </c>
      <c r="L17" s="3">
        <v>0.23799999999999999</v>
      </c>
      <c r="M17" s="3">
        <v>27.641999999999999</v>
      </c>
      <c r="N17">
        <v>1.791999999999998</v>
      </c>
      <c r="O17" s="7">
        <v>6.5706666666666589</v>
      </c>
      <c r="P17" s="3">
        <v>11.119</v>
      </c>
      <c r="Q17" s="3">
        <v>0.5420000000000007</v>
      </c>
      <c r="R17">
        <v>8.3640000000000008</v>
      </c>
      <c r="S17" s="3">
        <v>0.33000000000000007</v>
      </c>
      <c r="T17" s="3">
        <v>2.7549999999999999</v>
      </c>
      <c r="U17" s="3">
        <v>11.119</v>
      </c>
      <c r="V17" s="7">
        <v>0.87200000000000077</v>
      </c>
      <c r="W17" s="7">
        <v>0.82199654264907729</v>
      </c>
      <c r="X17" s="7">
        <v>5.0003457350923486E-2</v>
      </c>
      <c r="Y17" s="8">
        <v>4.6807692347440657</v>
      </c>
      <c r="Z17" s="8">
        <f t="shared" si="0"/>
        <v>1.8898974319225932</v>
      </c>
      <c r="AA17" s="7">
        <v>3.0139873230466163</v>
      </c>
      <c r="AB17" s="7">
        <v>1.6667819116974494</v>
      </c>
      <c r="AC17" s="5">
        <v>0.5420000000000007</v>
      </c>
      <c r="AD17" s="4">
        <v>8.3640000000000008</v>
      </c>
      <c r="AE17" s="5">
        <v>0.33000000000000007</v>
      </c>
      <c r="AF17" s="4">
        <v>2.7549999999999999</v>
      </c>
      <c r="AG17" s="4">
        <v>11.119</v>
      </c>
      <c r="AH17" s="5">
        <v>0.87199999999999989</v>
      </c>
      <c r="AI17" s="9">
        <v>0.82199654264907729</v>
      </c>
      <c r="AJ17" s="9">
        <v>5.0003457350923486E-2</v>
      </c>
      <c r="AK17" s="10">
        <v>4.6807692347440657</v>
      </c>
      <c r="AL17" s="8">
        <f t="shared" si="2"/>
        <v>1.8898974319226012</v>
      </c>
      <c r="AM17" s="9">
        <v>3.0139873230466163</v>
      </c>
      <c r="AN17" s="9">
        <v>1.6667819116974494</v>
      </c>
    </row>
    <row r="18" spans="1:40" x14ac:dyDescent="0.35">
      <c r="A18" s="3">
        <v>1920</v>
      </c>
      <c r="B18" s="3">
        <v>17.619</v>
      </c>
      <c r="C18" s="3">
        <v>14.420999999999999</v>
      </c>
      <c r="D18" s="3">
        <v>3.198</v>
      </c>
      <c r="E18" s="3">
        <v>17.619</v>
      </c>
      <c r="F18">
        <v>14.422000000000001</v>
      </c>
      <c r="G18">
        <v>3.198</v>
      </c>
      <c r="H18" s="3">
        <v>0</v>
      </c>
      <c r="I18" s="3">
        <v>2.0760000000000001</v>
      </c>
      <c r="J18" s="11">
        <v>7.6120000000000001</v>
      </c>
      <c r="K18" s="3">
        <v>0</v>
      </c>
      <c r="L18" s="3">
        <v>0.24299999999999999</v>
      </c>
      <c r="M18" s="3">
        <v>29.718000000000004</v>
      </c>
      <c r="N18">
        <v>2.0760000000000005</v>
      </c>
      <c r="O18" s="7">
        <v>7.6120000000000019</v>
      </c>
      <c r="P18" s="3">
        <v>12.099</v>
      </c>
      <c r="Q18" s="3">
        <v>0.62899999999999956</v>
      </c>
      <c r="R18">
        <v>8.9930000000000003</v>
      </c>
      <c r="S18" s="3">
        <v>0.35099999999999998</v>
      </c>
      <c r="T18" s="3">
        <v>3.1059999999999999</v>
      </c>
      <c r="U18" s="3">
        <v>12.099</v>
      </c>
      <c r="V18" s="7">
        <v>0.97999999999999954</v>
      </c>
      <c r="W18" s="7">
        <v>0.92624318892483837</v>
      </c>
      <c r="X18" s="7">
        <v>5.3756811075161226E-2</v>
      </c>
      <c r="Y18" s="8">
        <v>5.1881187285631141</v>
      </c>
      <c r="Z18" s="8">
        <f t="shared" si="0"/>
        <v>2.4238812714368878</v>
      </c>
      <c r="AA18" s="7">
        <v>3.3962250260577402</v>
      </c>
      <c r="AB18" s="7">
        <v>1.7918937025053741</v>
      </c>
      <c r="AC18" s="5">
        <v>0.62899999999999956</v>
      </c>
      <c r="AD18" s="4">
        <v>8.9930000000000003</v>
      </c>
      <c r="AE18" s="5">
        <v>0.35099999999999998</v>
      </c>
      <c r="AF18" s="4">
        <v>3.1059999999999999</v>
      </c>
      <c r="AG18" s="4">
        <v>12.099</v>
      </c>
      <c r="AH18" s="5">
        <v>0.98000000000000043</v>
      </c>
      <c r="AI18" s="9">
        <v>0.92624318892483837</v>
      </c>
      <c r="AJ18" s="9">
        <v>5.3756811075161226E-2</v>
      </c>
      <c r="AK18" s="10">
        <v>5.1881187285631141</v>
      </c>
      <c r="AL18" s="8">
        <f t="shared" si="2"/>
        <v>2.423881271436886</v>
      </c>
      <c r="AM18" s="9">
        <v>3.3962250260577402</v>
      </c>
      <c r="AN18" s="9">
        <v>1.7918937025053741</v>
      </c>
    </row>
    <row r="19" spans="1:40" x14ac:dyDescent="0.35">
      <c r="A19" s="3">
        <v>1921</v>
      </c>
      <c r="B19" s="3">
        <v>18.577000000000002</v>
      </c>
      <c r="C19" s="3">
        <v>15.137000000000002</v>
      </c>
      <c r="D19" s="3">
        <v>3.44</v>
      </c>
      <c r="E19" s="3">
        <v>18.577000000000002</v>
      </c>
      <c r="F19">
        <v>15.137</v>
      </c>
      <c r="G19">
        <v>3.44</v>
      </c>
      <c r="H19" s="3">
        <v>0</v>
      </c>
      <c r="I19" s="3">
        <v>1.905</v>
      </c>
      <c r="J19" s="11">
        <v>6.9849999999999994</v>
      </c>
      <c r="K19" s="3">
        <v>0</v>
      </c>
      <c r="L19" s="3">
        <v>0.24199999999999999</v>
      </c>
      <c r="M19" s="3">
        <v>31.623000000000001</v>
      </c>
      <c r="N19">
        <v>1.9050000000000011</v>
      </c>
      <c r="O19" s="7">
        <v>6.9850000000000039</v>
      </c>
      <c r="P19" s="3">
        <v>13.045999999999999</v>
      </c>
      <c r="Q19" s="3">
        <v>0.57600000000000051</v>
      </c>
      <c r="R19">
        <v>9.5690000000000008</v>
      </c>
      <c r="S19" s="3">
        <v>0.371</v>
      </c>
      <c r="T19" s="3">
        <v>3.4769999999999999</v>
      </c>
      <c r="U19" s="3">
        <v>13.046000000000001</v>
      </c>
      <c r="V19" s="7">
        <v>0.94700000000000051</v>
      </c>
      <c r="W19" s="7">
        <v>0.8911467350458846</v>
      </c>
      <c r="X19" s="7">
        <v>5.5853264954115966E-2</v>
      </c>
      <c r="Y19" s="8">
        <v>5.1293135269721084</v>
      </c>
      <c r="Z19" s="8">
        <f t="shared" si="0"/>
        <v>1.8556864730278955</v>
      </c>
      <c r="AA19" s="7">
        <v>3.2675380285015763</v>
      </c>
      <c r="AB19" s="7">
        <v>1.8617754984705321</v>
      </c>
      <c r="AC19" s="5">
        <v>0.57600000000000051</v>
      </c>
      <c r="AD19" s="4">
        <v>9.5690000000000008</v>
      </c>
      <c r="AE19" s="5">
        <v>0.371</v>
      </c>
      <c r="AF19" s="4">
        <v>3.4769999999999999</v>
      </c>
      <c r="AG19" s="4">
        <v>13.045999999999999</v>
      </c>
      <c r="AH19" s="5">
        <v>0.94699999999999918</v>
      </c>
      <c r="AI19" s="9">
        <v>0.8911467350458846</v>
      </c>
      <c r="AJ19" s="9">
        <v>5.5853264954115966E-2</v>
      </c>
      <c r="AK19" s="10">
        <v>5.1293135269721084</v>
      </c>
      <c r="AL19" s="8">
        <f t="shared" si="2"/>
        <v>1.855686473027891</v>
      </c>
      <c r="AM19" s="9">
        <v>3.2675380285015763</v>
      </c>
      <c r="AN19" s="9">
        <v>1.8617754984705321</v>
      </c>
    </row>
    <row r="20" spans="1:40" x14ac:dyDescent="0.35">
      <c r="A20" s="3">
        <v>1922</v>
      </c>
      <c r="B20" s="3">
        <v>19.861000000000001</v>
      </c>
      <c r="C20" s="3">
        <v>16.167000000000002</v>
      </c>
      <c r="D20" s="3">
        <v>3.694</v>
      </c>
      <c r="E20" s="3">
        <v>19.861000000000001</v>
      </c>
      <c r="F20">
        <v>16.167000000000002</v>
      </c>
      <c r="G20">
        <v>3.694</v>
      </c>
      <c r="H20" s="3">
        <v>0</v>
      </c>
      <c r="I20" s="3">
        <v>2.4079999999999999</v>
      </c>
      <c r="J20" s="11">
        <v>8.8293333333333326</v>
      </c>
      <c r="K20" s="3">
        <v>0</v>
      </c>
      <c r="L20" s="3">
        <v>0.254</v>
      </c>
      <c r="M20" s="3">
        <v>34.031999999999996</v>
      </c>
      <c r="N20">
        <v>2.4079999999999977</v>
      </c>
      <c r="O20" s="7">
        <v>8.8293333333333237</v>
      </c>
      <c r="P20" s="3">
        <v>14.170999999999999</v>
      </c>
      <c r="Q20" s="3">
        <v>0.7289999999999992</v>
      </c>
      <c r="R20">
        <v>10.298</v>
      </c>
      <c r="S20" s="3">
        <v>0.39600000000000035</v>
      </c>
      <c r="T20" s="3">
        <v>3.8730000000000002</v>
      </c>
      <c r="U20" s="3">
        <v>14.170999999999999</v>
      </c>
      <c r="V20" s="7">
        <v>1.1249999999999996</v>
      </c>
      <c r="W20" s="7">
        <v>1.064140658300553</v>
      </c>
      <c r="X20" s="7">
        <v>6.0859341699446512E-2</v>
      </c>
      <c r="Y20" s="8">
        <v>5.9304938037502453</v>
      </c>
      <c r="Z20" s="8">
        <f t="shared" si="0"/>
        <v>2.8988395295830784</v>
      </c>
      <c r="AA20" s="7">
        <v>3.9018490804353609</v>
      </c>
      <c r="AB20" s="7">
        <v>2.0286447233148839</v>
      </c>
      <c r="AC20" s="5">
        <v>0.7289999999999992</v>
      </c>
      <c r="AD20" s="4">
        <v>10.298</v>
      </c>
      <c r="AE20" s="5">
        <v>0.39600000000000035</v>
      </c>
      <c r="AF20" s="4">
        <v>3.8730000000000002</v>
      </c>
      <c r="AG20" s="4">
        <v>14.170999999999999</v>
      </c>
      <c r="AH20" s="5">
        <v>1.125</v>
      </c>
      <c r="AI20" s="9">
        <v>1.064140658300553</v>
      </c>
      <c r="AJ20" s="9">
        <v>6.0859341699446512E-2</v>
      </c>
      <c r="AK20" s="10">
        <v>5.9304938037502453</v>
      </c>
      <c r="AL20" s="8">
        <f t="shared" si="2"/>
        <v>2.8988395295830873</v>
      </c>
      <c r="AM20" s="9">
        <v>3.9018490804353609</v>
      </c>
      <c r="AN20" s="9">
        <v>2.0286447233148839</v>
      </c>
    </row>
    <row r="21" spans="1:40" x14ac:dyDescent="0.35">
      <c r="A21" s="3">
        <v>1923</v>
      </c>
      <c r="B21" s="3">
        <v>21.503</v>
      </c>
      <c r="C21" s="3">
        <v>17.530999999999999</v>
      </c>
      <c r="D21" s="3">
        <v>3.972</v>
      </c>
      <c r="E21" s="3">
        <v>21.503</v>
      </c>
      <c r="F21">
        <v>17.530999999999999</v>
      </c>
      <c r="G21">
        <v>3.972</v>
      </c>
      <c r="H21" s="3">
        <v>0</v>
      </c>
      <c r="I21" s="3">
        <v>2.9660000000000002</v>
      </c>
      <c r="J21" s="11">
        <v>10.875333333333334</v>
      </c>
      <c r="K21" s="3">
        <v>0</v>
      </c>
      <c r="L21" s="3">
        <v>0.27800000000000002</v>
      </c>
      <c r="M21" s="3">
        <v>36.997</v>
      </c>
      <c r="N21">
        <v>2.9660000000000011</v>
      </c>
      <c r="O21" s="7">
        <v>10.875333333333337</v>
      </c>
      <c r="P21" s="3">
        <v>15.494</v>
      </c>
      <c r="Q21" s="3">
        <v>0.89700000000000024</v>
      </c>
      <c r="R21">
        <v>11.195</v>
      </c>
      <c r="S21" s="3">
        <v>0.42600000000000016</v>
      </c>
      <c r="T21" s="3">
        <v>4.2990000000000004</v>
      </c>
      <c r="U21" s="3">
        <v>15.494</v>
      </c>
      <c r="V21" s="7">
        <v>1.3230000000000004</v>
      </c>
      <c r="W21" s="7">
        <v>1.2563030991438429</v>
      </c>
      <c r="X21" s="7">
        <v>6.6696900856157482E-2</v>
      </c>
      <c r="Y21" s="8">
        <v>6.8296747253993395</v>
      </c>
      <c r="Z21" s="8">
        <f t="shared" si="0"/>
        <v>4.0456586079339978</v>
      </c>
      <c r="AA21" s="7">
        <v>4.6064446968607573</v>
      </c>
      <c r="AB21" s="7">
        <v>2.2232300285385826</v>
      </c>
      <c r="AC21" s="5">
        <v>0.89700000000000024</v>
      </c>
      <c r="AD21" s="4">
        <v>11.195</v>
      </c>
      <c r="AE21" s="5">
        <v>0.42600000000000016</v>
      </c>
      <c r="AF21" s="4">
        <v>4.2990000000000004</v>
      </c>
      <c r="AG21" s="4">
        <v>15.494</v>
      </c>
      <c r="AH21" s="5">
        <v>1.3230000000000004</v>
      </c>
      <c r="AI21" s="9">
        <v>1.2563030991438429</v>
      </c>
      <c r="AJ21" s="9">
        <v>6.6696900856157482E-2</v>
      </c>
      <c r="AK21" s="10">
        <v>6.8296747253993395</v>
      </c>
      <c r="AL21" s="8">
        <f t="shared" si="2"/>
        <v>4.0456586079339942</v>
      </c>
      <c r="AM21" s="9">
        <v>4.6064446968607573</v>
      </c>
      <c r="AN21" s="9">
        <v>2.2232300285385826</v>
      </c>
    </row>
    <row r="22" spans="1:40" x14ac:dyDescent="0.35">
      <c r="A22" s="3">
        <v>1924</v>
      </c>
      <c r="B22" s="3">
        <v>22.998000000000001</v>
      </c>
      <c r="C22" s="3">
        <v>18.731999999999999</v>
      </c>
      <c r="D22" s="3">
        <v>4.266</v>
      </c>
      <c r="E22" s="3">
        <v>22.998000000000001</v>
      </c>
      <c r="F22">
        <v>18.731999999999999</v>
      </c>
      <c r="G22">
        <v>4.266</v>
      </c>
      <c r="H22" s="3">
        <v>0</v>
      </c>
      <c r="I22" s="3">
        <v>2.7949999999999999</v>
      </c>
      <c r="J22" s="11">
        <v>10.248333333333333</v>
      </c>
      <c r="K22" s="3">
        <v>0</v>
      </c>
      <c r="L22" s="3">
        <v>0.29399999999999998</v>
      </c>
      <c r="M22" s="3">
        <v>39.792000000000002</v>
      </c>
      <c r="N22">
        <v>2.7959999999999994</v>
      </c>
      <c r="O22" s="7">
        <v>10.251999999999997</v>
      </c>
      <c r="P22" s="3">
        <v>16.794</v>
      </c>
      <c r="Q22" s="3">
        <v>0.84600000000000009</v>
      </c>
      <c r="R22">
        <v>12.041</v>
      </c>
      <c r="S22" s="3">
        <v>0.45399999999999974</v>
      </c>
      <c r="T22" s="3">
        <v>4.7530000000000001</v>
      </c>
      <c r="U22" s="3">
        <v>16.794</v>
      </c>
      <c r="V22" s="7">
        <v>1.2999999999999998</v>
      </c>
      <c r="W22" s="7">
        <v>1.230115640370081</v>
      </c>
      <c r="X22" s="7">
        <v>6.988435962991868E-2</v>
      </c>
      <c r="Y22" s="8">
        <v>6.8399026690209199</v>
      </c>
      <c r="Z22" s="8">
        <f t="shared" si="0"/>
        <v>3.4120973309790772</v>
      </c>
      <c r="AA22" s="7">
        <v>4.5104240146902974</v>
      </c>
      <c r="AB22" s="7">
        <v>2.3294786543306225</v>
      </c>
      <c r="AC22" s="5">
        <v>0.84600000000000009</v>
      </c>
      <c r="AD22" s="4">
        <v>12.041</v>
      </c>
      <c r="AE22" s="5">
        <v>0.45399999999999974</v>
      </c>
      <c r="AF22" s="4">
        <v>4.7530000000000001</v>
      </c>
      <c r="AG22" s="4">
        <v>16.794</v>
      </c>
      <c r="AH22" s="5">
        <v>1.3000000000000007</v>
      </c>
      <c r="AI22" s="9">
        <v>1.230115640370081</v>
      </c>
      <c r="AJ22" s="9">
        <v>6.988435962991868E-2</v>
      </c>
      <c r="AK22" s="10">
        <v>6.8399026690209199</v>
      </c>
      <c r="AL22" s="8">
        <f t="shared" si="2"/>
        <v>3.4084306643124131</v>
      </c>
      <c r="AM22" s="9">
        <v>4.5104240146902974</v>
      </c>
      <c r="AN22" s="9">
        <v>2.3294786543306225</v>
      </c>
    </row>
    <row r="23" spans="1:40" x14ac:dyDescent="0.35">
      <c r="A23" s="3">
        <v>1925</v>
      </c>
      <c r="B23" s="3">
        <v>24.509</v>
      </c>
      <c r="C23" s="3">
        <v>19.936</v>
      </c>
      <c r="D23" s="3">
        <v>4.5730000000000004</v>
      </c>
      <c r="E23" s="3">
        <v>24.509</v>
      </c>
      <c r="F23">
        <v>19.937000000000001</v>
      </c>
      <c r="G23">
        <v>4.5730000000000004</v>
      </c>
      <c r="H23" s="3">
        <v>0</v>
      </c>
      <c r="I23" s="3">
        <v>2.86</v>
      </c>
      <c r="J23" s="11">
        <v>10.486666666666666</v>
      </c>
      <c r="K23" s="3">
        <v>0</v>
      </c>
      <c r="L23" s="3">
        <v>0.307</v>
      </c>
      <c r="M23" s="3">
        <v>42.652999999999999</v>
      </c>
      <c r="N23">
        <v>2.8599999999999994</v>
      </c>
      <c r="O23" s="7">
        <v>10.486666666666665</v>
      </c>
      <c r="P23" s="3">
        <v>18.143999999999998</v>
      </c>
      <c r="Q23" s="3">
        <v>0.86599999999999966</v>
      </c>
      <c r="R23">
        <v>12.907</v>
      </c>
      <c r="S23" s="3">
        <v>0.48399999999999999</v>
      </c>
      <c r="T23" s="3">
        <v>5.2370000000000001</v>
      </c>
      <c r="U23" s="3">
        <v>18.143999999999998</v>
      </c>
      <c r="V23" s="7">
        <v>1.3499999999999996</v>
      </c>
      <c r="W23" s="7">
        <v>1.2758883680580781</v>
      </c>
      <c r="X23" s="7">
        <v>7.4111631941921496E-2</v>
      </c>
      <c r="Y23" s="8">
        <v>7.1486450809436697</v>
      </c>
      <c r="Z23" s="8">
        <f t="shared" si="0"/>
        <v>3.3380215857229949</v>
      </c>
      <c r="AA23" s="7">
        <v>4.6782573495462865</v>
      </c>
      <c r="AB23" s="7">
        <v>2.4703877313973828</v>
      </c>
      <c r="AC23" s="5">
        <v>0.86599999999999966</v>
      </c>
      <c r="AD23" s="4">
        <v>12.907</v>
      </c>
      <c r="AE23" s="5">
        <v>0.48399999999999999</v>
      </c>
      <c r="AF23" s="4">
        <v>5.2370000000000001</v>
      </c>
      <c r="AG23" s="4">
        <v>18.143999999999998</v>
      </c>
      <c r="AH23" s="5">
        <v>1.3499999999999979</v>
      </c>
      <c r="AI23" s="9">
        <v>1.2758883680580781</v>
      </c>
      <c r="AJ23" s="9">
        <v>7.4111631941921496E-2</v>
      </c>
      <c r="AK23" s="10">
        <v>7.1486450809436697</v>
      </c>
      <c r="AL23" s="8">
        <f t="shared" si="2"/>
        <v>3.3380215857229967</v>
      </c>
      <c r="AM23" s="9">
        <v>4.6782573495462865</v>
      </c>
      <c r="AN23" s="9">
        <v>2.4703877313973828</v>
      </c>
    </row>
    <row r="24" spans="1:40" x14ac:dyDescent="0.35">
      <c r="A24" s="3">
        <v>1926</v>
      </c>
      <c r="B24" s="3">
        <v>26.131</v>
      </c>
      <c r="C24" s="3">
        <v>21.236000000000001</v>
      </c>
      <c r="D24" s="3">
        <v>4.8949999999999996</v>
      </c>
      <c r="E24" s="3">
        <v>26.131</v>
      </c>
      <c r="F24">
        <v>21.236000000000001</v>
      </c>
      <c r="G24">
        <v>4.8949999999999996</v>
      </c>
      <c r="H24" s="3">
        <v>0</v>
      </c>
      <c r="I24" s="3">
        <v>3.0630000000000002</v>
      </c>
      <c r="J24" s="11">
        <v>11.231</v>
      </c>
      <c r="K24" s="3">
        <v>0</v>
      </c>
      <c r="L24" s="3">
        <v>0.32200000000000001</v>
      </c>
      <c r="M24" s="3">
        <v>45.714999999999996</v>
      </c>
      <c r="N24">
        <v>3.0630000000000024</v>
      </c>
      <c r="O24" s="7">
        <v>11.231000000000009</v>
      </c>
      <c r="P24" s="3">
        <v>19.584</v>
      </c>
      <c r="Q24" s="3">
        <v>0.92600000000000016</v>
      </c>
      <c r="R24">
        <v>13.833</v>
      </c>
      <c r="S24" s="3">
        <v>0.51400000000000023</v>
      </c>
      <c r="T24" s="3">
        <v>5.7510000000000003</v>
      </c>
      <c r="U24" s="3">
        <v>19.584</v>
      </c>
      <c r="V24" s="7">
        <v>1.4400000000000004</v>
      </c>
      <c r="W24" s="7">
        <v>1.3612258830853441</v>
      </c>
      <c r="X24" s="7">
        <v>7.87741169146563E-2</v>
      </c>
      <c r="Y24" s="8">
        <v>7.6169654684681376</v>
      </c>
      <c r="Z24" s="8">
        <f t="shared" si="0"/>
        <v>3.6140345315318712</v>
      </c>
      <c r="AA24" s="7">
        <v>4.9911615713129276</v>
      </c>
      <c r="AB24" s="7">
        <v>2.62580389715521</v>
      </c>
      <c r="AC24" s="5">
        <v>0.92600000000000016</v>
      </c>
      <c r="AD24" s="4">
        <v>13.833</v>
      </c>
      <c r="AE24" s="5">
        <v>0.51400000000000023</v>
      </c>
      <c r="AF24" s="4">
        <v>5.7510000000000003</v>
      </c>
      <c r="AG24" s="4">
        <v>19.584</v>
      </c>
      <c r="AH24" s="5">
        <v>1.4400000000000013</v>
      </c>
      <c r="AI24" s="9">
        <v>1.3612258830853441</v>
      </c>
      <c r="AJ24" s="9">
        <v>7.87741169146563E-2</v>
      </c>
      <c r="AK24" s="10">
        <v>7.6169654684681376</v>
      </c>
      <c r="AL24" s="8">
        <f t="shared" si="2"/>
        <v>3.6140345315318623</v>
      </c>
      <c r="AM24" s="9">
        <v>4.9911615713129276</v>
      </c>
      <c r="AN24" s="9">
        <v>2.62580389715521</v>
      </c>
    </row>
    <row r="25" spans="1:40" x14ac:dyDescent="0.35">
      <c r="A25" s="3">
        <v>1927</v>
      </c>
      <c r="B25" s="3">
        <v>27.61</v>
      </c>
      <c r="C25" s="3">
        <v>22.384999999999998</v>
      </c>
      <c r="D25" s="3">
        <v>5.2249999999999996</v>
      </c>
      <c r="E25" s="3">
        <v>27.61</v>
      </c>
      <c r="F25">
        <v>22.384</v>
      </c>
      <c r="G25">
        <v>5.2249999999999996</v>
      </c>
      <c r="H25" s="3">
        <v>0</v>
      </c>
      <c r="I25" s="3">
        <v>2.9</v>
      </c>
      <c r="J25" s="11">
        <v>10.633333333333333</v>
      </c>
      <c r="K25" s="3">
        <v>0</v>
      </c>
      <c r="L25" s="3">
        <v>0.33</v>
      </c>
      <c r="M25" s="3">
        <v>48.616</v>
      </c>
      <c r="N25">
        <v>2.8999999999999986</v>
      </c>
      <c r="O25" s="7">
        <v>10.633333333333328</v>
      </c>
      <c r="P25" s="3">
        <v>21.006</v>
      </c>
      <c r="Q25" s="3">
        <v>0.87800000000000011</v>
      </c>
      <c r="R25">
        <v>14.711</v>
      </c>
      <c r="S25" s="3">
        <v>0.54399999999999959</v>
      </c>
      <c r="T25" s="3">
        <v>6.2949999999999999</v>
      </c>
      <c r="U25" s="3">
        <v>21.006</v>
      </c>
      <c r="V25" s="7">
        <v>1.4219999999999997</v>
      </c>
      <c r="W25" s="7">
        <v>1.3397384722965848</v>
      </c>
      <c r="X25" s="7">
        <v>8.2261527703414827E-2</v>
      </c>
      <c r="Y25" s="8">
        <v>7.6544253218679712</v>
      </c>
      <c r="Z25" s="8">
        <f t="shared" si="0"/>
        <v>2.9789080114653563</v>
      </c>
      <c r="AA25" s="7">
        <v>4.9123743984208108</v>
      </c>
      <c r="AB25" s="7">
        <v>2.7420509234471604</v>
      </c>
      <c r="AC25" s="5">
        <v>0.87800000000000011</v>
      </c>
      <c r="AD25" s="4">
        <v>14.711</v>
      </c>
      <c r="AE25" s="5">
        <v>0.54399999999999959</v>
      </c>
      <c r="AF25" s="4">
        <v>6.2949999999999999</v>
      </c>
      <c r="AG25" s="4">
        <v>21.006</v>
      </c>
      <c r="AH25" s="5">
        <v>1.4220000000000006</v>
      </c>
      <c r="AI25" s="9">
        <v>1.3397384722965848</v>
      </c>
      <c r="AJ25" s="9">
        <v>8.2261527703414827E-2</v>
      </c>
      <c r="AK25" s="10">
        <v>7.6544253218679712</v>
      </c>
      <c r="AL25" s="8">
        <f t="shared" si="2"/>
        <v>2.9789080114653617</v>
      </c>
      <c r="AM25" s="9">
        <v>4.9123743984208108</v>
      </c>
      <c r="AN25" s="9">
        <v>2.7420509234471604</v>
      </c>
    </row>
    <row r="26" spans="1:40" x14ac:dyDescent="0.35">
      <c r="A26" s="3">
        <v>1928</v>
      </c>
      <c r="B26" s="3">
        <v>28.946000000000002</v>
      </c>
      <c r="C26" s="3">
        <v>23.391000000000002</v>
      </c>
      <c r="D26" s="3">
        <v>5.5549999999999997</v>
      </c>
      <c r="E26" s="3">
        <v>28.946000000000002</v>
      </c>
      <c r="F26">
        <v>23.390999999999998</v>
      </c>
      <c r="G26">
        <v>5.5549999999999997</v>
      </c>
      <c r="H26" s="3">
        <v>0</v>
      </c>
      <c r="I26" s="3">
        <v>2.734</v>
      </c>
      <c r="J26" s="11">
        <v>10.024666666666667</v>
      </c>
      <c r="K26" s="3">
        <v>0</v>
      </c>
      <c r="L26" s="3">
        <v>0.33</v>
      </c>
      <c r="M26" s="3">
        <v>51.349000000000004</v>
      </c>
      <c r="N26">
        <v>2.7340000000000018</v>
      </c>
      <c r="O26" s="7">
        <v>10.024666666666672</v>
      </c>
      <c r="P26" s="3">
        <v>22.402999999999999</v>
      </c>
      <c r="Q26" s="3">
        <v>0.82699999999999996</v>
      </c>
      <c r="R26">
        <v>15.538</v>
      </c>
      <c r="S26" s="3">
        <v>0.57000000000000028</v>
      </c>
      <c r="T26" s="3">
        <v>6.8650000000000002</v>
      </c>
      <c r="U26" s="3">
        <v>22.402999999999999</v>
      </c>
      <c r="V26" s="7">
        <v>1.3970000000000002</v>
      </c>
      <c r="W26" s="7">
        <v>1.3118183245882666</v>
      </c>
      <c r="X26" s="7">
        <v>8.5181675411733604E-2</v>
      </c>
      <c r="Y26" s="8">
        <v>7.6493897038814307</v>
      </c>
      <c r="Z26" s="8">
        <f t="shared" si="0"/>
        <v>2.3752769627852413</v>
      </c>
      <c r="AA26" s="7">
        <v>4.8100005234903112</v>
      </c>
      <c r="AB26" s="7">
        <v>2.83938918039112</v>
      </c>
      <c r="AC26" s="5">
        <v>0.82699999999999996</v>
      </c>
      <c r="AD26" s="4">
        <v>15.538</v>
      </c>
      <c r="AE26" s="5">
        <v>0.57000000000000028</v>
      </c>
      <c r="AF26" s="4">
        <v>6.8650000000000002</v>
      </c>
      <c r="AG26" s="4">
        <v>22.402999999999999</v>
      </c>
      <c r="AH26" s="5">
        <v>1.3969999999999985</v>
      </c>
      <c r="AI26" s="9">
        <v>1.3118183245882666</v>
      </c>
      <c r="AJ26" s="9">
        <v>8.5181675411733604E-2</v>
      </c>
      <c r="AK26" s="10">
        <v>7.6493897038814307</v>
      </c>
      <c r="AL26" s="8">
        <f t="shared" si="2"/>
        <v>2.3752769627852359</v>
      </c>
      <c r="AM26" s="9">
        <v>4.8100005234903112</v>
      </c>
      <c r="AN26" s="9">
        <v>2.83938918039112</v>
      </c>
    </row>
    <row r="27" spans="1:40" x14ac:dyDescent="0.35">
      <c r="A27" s="3">
        <v>1929</v>
      </c>
      <c r="B27" s="3">
        <v>30.361999999999998</v>
      </c>
      <c r="C27" s="3">
        <v>24.473999999999997</v>
      </c>
      <c r="D27" s="3">
        <v>5.8879999999999999</v>
      </c>
      <c r="E27" s="3">
        <v>30.361999999999998</v>
      </c>
      <c r="F27">
        <v>24.474</v>
      </c>
      <c r="G27">
        <v>5.8879999999999999</v>
      </c>
      <c r="H27" s="3">
        <v>0</v>
      </c>
      <c r="I27" s="3">
        <v>2.8889999999999998</v>
      </c>
      <c r="J27" s="11">
        <v>10.592999999999998</v>
      </c>
      <c r="K27" s="3">
        <v>0</v>
      </c>
      <c r="L27" s="3">
        <v>0.33300000000000002</v>
      </c>
      <c r="M27" s="3">
        <v>54.237000000000002</v>
      </c>
      <c r="N27">
        <v>2.8879999999999981</v>
      </c>
      <c r="O27" s="7">
        <v>10.589333333333325</v>
      </c>
      <c r="P27" s="3">
        <v>23.875</v>
      </c>
      <c r="Q27" s="3">
        <v>0.87399999999999878</v>
      </c>
      <c r="R27">
        <v>16.411999999999999</v>
      </c>
      <c r="S27" s="3">
        <v>0.59799999999999986</v>
      </c>
      <c r="T27" s="3">
        <v>7.4630000000000001</v>
      </c>
      <c r="U27" s="3">
        <v>23.875</v>
      </c>
      <c r="V27" s="7">
        <v>1.4719999999999986</v>
      </c>
      <c r="W27" s="7">
        <v>1.3825645947957106</v>
      </c>
      <c r="X27" s="7">
        <v>8.9435405204288054E-2</v>
      </c>
      <c r="Y27" s="8">
        <v>8.0505836877272063</v>
      </c>
      <c r="Z27" s="8">
        <f t="shared" si="0"/>
        <v>2.5387496456061189</v>
      </c>
      <c r="AA27" s="7">
        <v>5.0694035142509382</v>
      </c>
      <c r="AB27" s="7">
        <v>2.9811801734762686</v>
      </c>
      <c r="AC27" s="5">
        <v>0.87399999999999878</v>
      </c>
      <c r="AD27" s="4">
        <v>16.411999999999999</v>
      </c>
      <c r="AE27" s="5">
        <v>0.59799999999999986</v>
      </c>
      <c r="AF27" s="4">
        <v>7.4630000000000001</v>
      </c>
      <c r="AG27" s="4">
        <v>23.875</v>
      </c>
      <c r="AH27" s="5">
        <v>1.4720000000000013</v>
      </c>
      <c r="AI27" s="9">
        <v>1.3825645947957106</v>
      </c>
      <c r="AJ27" s="9">
        <v>8.9435405204288054E-2</v>
      </c>
      <c r="AK27" s="10">
        <v>8.0505836877272063</v>
      </c>
      <c r="AL27" s="8">
        <f t="shared" si="2"/>
        <v>2.5424163122727919</v>
      </c>
      <c r="AM27" s="9">
        <v>5.0694035142509382</v>
      </c>
      <c r="AN27" s="9">
        <v>2.9811801734762686</v>
      </c>
    </row>
    <row r="28" spans="1:40" x14ac:dyDescent="0.35">
      <c r="A28" s="3">
        <v>1930</v>
      </c>
      <c r="B28" s="3">
        <v>31.224</v>
      </c>
      <c r="C28" s="3">
        <v>25.023</v>
      </c>
      <c r="D28" s="3">
        <v>6.2009999999999996</v>
      </c>
      <c r="E28" s="3">
        <v>31.224</v>
      </c>
      <c r="F28">
        <v>25.021999999999998</v>
      </c>
      <c r="G28">
        <v>6.2009999999999996</v>
      </c>
      <c r="H28" s="3">
        <v>0</v>
      </c>
      <c r="I28" s="3">
        <v>2.12</v>
      </c>
      <c r="J28" s="11">
        <v>7.7733333333333334</v>
      </c>
      <c r="K28" s="3">
        <v>0</v>
      </c>
      <c r="L28" s="3">
        <v>0.313</v>
      </c>
      <c r="M28" s="3">
        <v>56.357999999999997</v>
      </c>
      <c r="N28">
        <v>2.1199999999999974</v>
      </c>
      <c r="O28" s="7">
        <v>7.7733333333333237</v>
      </c>
      <c r="P28" s="3">
        <v>25.134</v>
      </c>
      <c r="Q28" s="3">
        <v>0.64199999999999946</v>
      </c>
      <c r="R28">
        <v>17.053999999999998</v>
      </c>
      <c r="S28" s="3">
        <v>0.61699999999999999</v>
      </c>
      <c r="T28" s="3">
        <v>8.08</v>
      </c>
      <c r="U28" s="3">
        <v>25.134</v>
      </c>
      <c r="V28" s="7">
        <v>1.2589999999999995</v>
      </c>
      <c r="W28" s="7">
        <v>1.1695493731062534</v>
      </c>
      <c r="X28" s="7">
        <v>8.9450626893746055E-2</v>
      </c>
      <c r="Y28" s="8">
        <v>7.2700352645144637</v>
      </c>
      <c r="Z28" s="8">
        <f t="shared" si="0"/>
        <v>0.50329806881885997</v>
      </c>
      <c r="AA28" s="7">
        <v>4.2883477013895952</v>
      </c>
      <c r="AB28" s="7">
        <v>2.9816875631248685</v>
      </c>
      <c r="AC28" s="5">
        <v>0.64199999999999946</v>
      </c>
      <c r="AD28" s="4">
        <v>17.053999999999998</v>
      </c>
      <c r="AE28" s="5">
        <v>0.61699999999999999</v>
      </c>
      <c r="AF28" s="4">
        <v>8.08</v>
      </c>
      <c r="AG28" s="4">
        <v>25.134</v>
      </c>
      <c r="AH28" s="5">
        <v>1.2590000000000003</v>
      </c>
      <c r="AI28" s="9">
        <v>1.1695493731062534</v>
      </c>
      <c r="AJ28" s="9">
        <v>8.9450626893746055E-2</v>
      </c>
      <c r="AK28" s="10">
        <v>7.2700352645144637</v>
      </c>
      <c r="AL28" s="8">
        <f t="shared" si="2"/>
        <v>0.50329806881886974</v>
      </c>
      <c r="AM28" s="9">
        <v>4.2883477013895952</v>
      </c>
      <c r="AN28" s="9">
        <v>2.9816875631248685</v>
      </c>
    </row>
    <row r="29" spans="1:40" x14ac:dyDescent="0.35">
      <c r="A29" s="3">
        <v>1931</v>
      </c>
      <c r="B29" s="3">
        <v>31.533000000000001</v>
      </c>
      <c r="C29" s="3">
        <v>25.057000000000002</v>
      </c>
      <c r="D29" s="3">
        <v>6.476</v>
      </c>
      <c r="E29" s="3">
        <v>31.533000000000001</v>
      </c>
      <c r="F29">
        <v>25.056999999999999</v>
      </c>
      <c r="G29">
        <v>6.476</v>
      </c>
      <c r="H29" s="3">
        <v>0</v>
      </c>
      <c r="I29" s="3">
        <v>1.341</v>
      </c>
      <c r="J29" s="11">
        <v>4.9169999999999998</v>
      </c>
      <c r="K29" s="3">
        <v>0</v>
      </c>
      <c r="L29" s="3">
        <v>0.27400000000000002</v>
      </c>
      <c r="M29" s="3">
        <v>57.7</v>
      </c>
      <c r="N29">
        <v>1.3410000000000011</v>
      </c>
      <c r="O29" s="7">
        <v>4.9170000000000034</v>
      </c>
      <c r="P29" s="3">
        <v>26.167000000000002</v>
      </c>
      <c r="Q29" s="3">
        <v>0.40600000000000236</v>
      </c>
      <c r="R29">
        <v>17.46</v>
      </c>
      <c r="S29" s="3">
        <v>0.62700000000000067</v>
      </c>
      <c r="T29" s="3">
        <v>8.7070000000000007</v>
      </c>
      <c r="U29" s="3">
        <v>26.167000000000002</v>
      </c>
      <c r="V29" s="7">
        <v>1.033000000000003</v>
      </c>
      <c r="W29" s="7">
        <v>0.94478057247736302</v>
      </c>
      <c r="X29" s="7">
        <v>8.8219427522640004E-2</v>
      </c>
      <c r="Y29" s="8">
        <v>6.4048430165049979</v>
      </c>
      <c r="Z29" s="8">
        <f t="shared" si="0"/>
        <v>-1.4878430165049945</v>
      </c>
      <c r="AA29" s="7">
        <v>3.4641954324169975</v>
      </c>
      <c r="AB29" s="7">
        <v>2.940647584088</v>
      </c>
      <c r="AC29" s="5">
        <v>0.40600000000000236</v>
      </c>
      <c r="AD29" s="4">
        <v>17.46</v>
      </c>
      <c r="AE29" s="5">
        <v>0.62700000000000067</v>
      </c>
      <c r="AF29" s="4">
        <v>8.7070000000000007</v>
      </c>
      <c r="AG29" s="4">
        <v>26.167000000000002</v>
      </c>
      <c r="AH29" s="5">
        <v>1.0330000000000013</v>
      </c>
      <c r="AI29" s="9">
        <v>0.94478057247736302</v>
      </c>
      <c r="AJ29" s="9">
        <v>8.8219427522640004E-2</v>
      </c>
      <c r="AK29" s="10">
        <v>6.4048430165049979</v>
      </c>
      <c r="AL29" s="8">
        <f t="shared" si="2"/>
        <v>-1.4878430165049981</v>
      </c>
      <c r="AM29" s="9">
        <v>3.4641954324169975</v>
      </c>
      <c r="AN29" s="9">
        <v>2.940647584088</v>
      </c>
    </row>
    <row r="30" spans="1:40" x14ac:dyDescent="0.35">
      <c r="A30" s="3">
        <v>1932</v>
      </c>
      <c r="B30" s="3">
        <v>31.568000000000001</v>
      </c>
      <c r="C30" s="3">
        <v>24.864000000000001</v>
      </c>
      <c r="D30" s="3">
        <v>6.7039999999999997</v>
      </c>
      <c r="E30" s="3">
        <v>31.568000000000001</v>
      </c>
      <c r="F30">
        <v>24.863</v>
      </c>
      <c r="G30">
        <v>6.7039999999999997</v>
      </c>
      <c r="H30" s="3">
        <v>0</v>
      </c>
      <c r="I30" s="3">
        <v>0.95299999999999996</v>
      </c>
      <c r="J30" s="11">
        <v>3.4943333333333331</v>
      </c>
      <c r="K30" s="3">
        <v>0</v>
      </c>
      <c r="L30" s="3">
        <v>0.22900000000000001</v>
      </c>
      <c r="M30" s="3">
        <v>58.653000000000006</v>
      </c>
      <c r="N30">
        <v>0.95300000000000296</v>
      </c>
      <c r="O30" s="7">
        <v>3.4943333333333442</v>
      </c>
      <c r="P30" s="3">
        <v>27.085000000000001</v>
      </c>
      <c r="Q30" s="3">
        <v>0.28800000000000026</v>
      </c>
      <c r="R30">
        <v>17.748000000000001</v>
      </c>
      <c r="S30" s="3">
        <v>0.62999999999999901</v>
      </c>
      <c r="T30" s="3">
        <v>9.3369999999999997</v>
      </c>
      <c r="U30" s="3">
        <v>27.085000000000001</v>
      </c>
      <c r="V30" s="7">
        <v>0.91799999999999926</v>
      </c>
      <c r="W30" s="7">
        <v>0.83066348322835504</v>
      </c>
      <c r="X30" s="7">
        <v>8.7336516771644224E-2</v>
      </c>
      <c r="Y30" s="8">
        <v>5.9569833308921094</v>
      </c>
      <c r="Z30" s="8">
        <f t="shared" si="0"/>
        <v>-2.4626499975587652</v>
      </c>
      <c r="AA30" s="7">
        <v>3.0457661051706348</v>
      </c>
      <c r="AB30" s="7">
        <v>2.9112172257214741</v>
      </c>
      <c r="AC30" s="5">
        <v>0.28800000000000026</v>
      </c>
      <c r="AD30" s="4">
        <v>17.748000000000001</v>
      </c>
      <c r="AE30" s="5">
        <v>0.62999999999999901</v>
      </c>
      <c r="AF30" s="4">
        <v>9.3369999999999997</v>
      </c>
      <c r="AG30" s="4">
        <v>27.085000000000001</v>
      </c>
      <c r="AH30" s="5">
        <v>0.91799999999999926</v>
      </c>
      <c r="AI30" s="9">
        <v>0.83066348322835504</v>
      </c>
      <c r="AJ30" s="9">
        <v>8.7336516771644224E-2</v>
      </c>
      <c r="AK30" s="10">
        <v>5.9569833308921094</v>
      </c>
      <c r="AL30" s="8">
        <f t="shared" si="2"/>
        <v>-2.4626499975587763</v>
      </c>
      <c r="AM30" s="9">
        <v>3.0457661051706348</v>
      </c>
      <c r="AN30" s="9">
        <v>2.9112172257214741</v>
      </c>
    </row>
    <row r="31" spans="1:40" x14ac:dyDescent="0.35">
      <c r="A31" s="3">
        <v>1933</v>
      </c>
      <c r="B31" s="3">
        <v>31.7</v>
      </c>
      <c r="C31" s="3">
        <v>24.802</v>
      </c>
      <c r="D31" s="3">
        <v>6.8979999999999997</v>
      </c>
      <c r="E31" s="3">
        <v>31.7</v>
      </c>
      <c r="F31">
        <v>24.802</v>
      </c>
      <c r="G31">
        <v>6.8979999999999997</v>
      </c>
      <c r="H31" s="3">
        <v>0</v>
      </c>
      <c r="I31" s="3">
        <v>1.0980000000000001</v>
      </c>
      <c r="J31" s="11">
        <v>4.0259999999999998</v>
      </c>
      <c r="K31" s="3">
        <v>0</v>
      </c>
      <c r="L31" s="3">
        <v>0.19400000000000001</v>
      </c>
      <c r="M31" s="3">
        <v>59.75</v>
      </c>
      <c r="N31">
        <v>1.097999999999999</v>
      </c>
      <c r="O31" s="7">
        <v>4.0259999999999962</v>
      </c>
      <c r="P31" s="3">
        <v>28.05</v>
      </c>
      <c r="Q31" s="3">
        <v>0.33199999999999719</v>
      </c>
      <c r="R31">
        <v>18.079999999999998</v>
      </c>
      <c r="S31" s="3">
        <v>0.6330000000000009</v>
      </c>
      <c r="T31" s="3">
        <v>9.9700000000000006</v>
      </c>
      <c r="U31" s="3">
        <v>28.049999999999997</v>
      </c>
      <c r="V31" s="7">
        <v>0.96499999999999808</v>
      </c>
      <c r="W31" s="7">
        <v>0.87678378270338486</v>
      </c>
      <c r="X31" s="7">
        <v>8.821621729661322E-2</v>
      </c>
      <c r="Y31" s="8">
        <v>6.1554144464661844</v>
      </c>
      <c r="Z31" s="8">
        <f t="shared" si="0"/>
        <v>-2.1294144464661882</v>
      </c>
      <c r="AA31" s="7">
        <v>3.2148738699124109</v>
      </c>
      <c r="AB31" s="7">
        <v>2.9405405765537735</v>
      </c>
      <c r="AC31" s="5">
        <v>0.33199999999999719</v>
      </c>
      <c r="AD31" s="4">
        <v>18.079999999999998</v>
      </c>
      <c r="AE31" s="5">
        <v>0.6330000000000009</v>
      </c>
      <c r="AF31" s="4">
        <v>9.9700000000000006</v>
      </c>
      <c r="AG31" s="4">
        <v>28.05</v>
      </c>
      <c r="AH31" s="5">
        <v>0.96499999999999986</v>
      </c>
      <c r="AI31" s="9">
        <v>0.87678378270338486</v>
      </c>
      <c r="AJ31" s="9">
        <v>8.821621729661322E-2</v>
      </c>
      <c r="AK31" s="10">
        <v>6.1554144464661844</v>
      </c>
      <c r="AL31" s="8">
        <f t="shared" si="2"/>
        <v>-2.1294144464661846</v>
      </c>
      <c r="AM31" s="9">
        <v>3.2148738699124109</v>
      </c>
      <c r="AN31" s="9">
        <v>2.9405405765537735</v>
      </c>
    </row>
    <row r="32" spans="1:40" x14ac:dyDescent="0.35">
      <c r="A32" s="3">
        <v>1934</v>
      </c>
      <c r="B32" s="3">
        <v>32.051000000000002</v>
      </c>
      <c r="C32" s="3">
        <v>24.980000000000004</v>
      </c>
      <c r="D32" s="3">
        <v>7.0709999999999997</v>
      </c>
      <c r="E32" s="3">
        <v>32.051000000000002</v>
      </c>
      <c r="F32">
        <v>24.981000000000002</v>
      </c>
      <c r="G32">
        <v>7.0709999999999997</v>
      </c>
      <c r="H32" s="3">
        <v>0</v>
      </c>
      <c r="I32" s="3">
        <v>1.421</v>
      </c>
      <c r="J32" s="11">
        <v>5.2103333333333337</v>
      </c>
      <c r="K32" s="3">
        <v>0</v>
      </c>
      <c r="L32" s="3">
        <v>0.17299999999999999</v>
      </c>
      <c r="M32" s="3">
        <v>61.171000000000006</v>
      </c>
      <c r="N32">
        <v>1.4209999999999994</v>
      </c>
      <c r="O32" s="7">
        <v>5.210333333333331</v>
      </c>
      <c r="P32" s="3">
        <v>29.12</v>
      </c>
      <c r="Q32" s="3">
        <v>0.43000000000000327</v>
      </c>
      <c r="R32">
        <v>18.510000000000002</v>
      </c>
      <c r="S32" s="3">
        <v>0.63999999999999879</v>
      </c>
      <c r="T32" s="3">
        <v>10.61</v>
      </c>
      <c r="U32" s="3">
        <v>29.12</v>
      </c>
      <c r="V32" s="7">
        <v>1.0700000000000021</v>
      </c>
      <c r="W32" s="7">
        <v>0.97978192295554711</v>
      </c>
      <c r="X32" s="7">
        <v>9.0218077044454892E-2</v>
      </c>
      <c r="Y32" s="8">
        <v>6.5998029523188357</v>
      </c>
      <c r="Z32" s="8">
        <f t="shared" si="0"/>
        <v>-1.3894696189855047</v>
      </c>
      <c r="AA32" s="7">
        <v>3.5925337175036729</v>
      </c>
      <c r="AB32" s="7">
        <v>3.0072692348151628</v>
      </c>
      <c r="AC32" s="5">
        <v>0.43000000000000327</v>
      </c>
      <c r="AD32" s="4">
        <v>18.510000000000002</v>
      </c>
      <c r="AE32" s="5">
        <v>0.63999999999999879</v>
      </c>
      <c r="AF32" s="4">
        <v>10.61</v>
      </c>
      <c r="AG32" s="4">
        <v>29.12</v>
      </c>
      <c r="AH32" s="5">
        <v>1.0700000000000003</v>
      </c>
      <c r="AI32" s="9">
        <v>0.97978192295554711</v>
      </c>
      <c r="AJ32" s="9">
        <v>9.0218077044454892E-2</v>
      </c>
      <c r="AK32" s="10">
        <v>6.5998029523188357</v>
      </c>
      <c r="AL32" s="8">
        <f t="shared" si="2"/>
        <v>-1.389469618985502</v>
      </c>
      <c r="AM32" s="9">
        <v>3.5925337175036729</v>
      </c>
      <c r="AN32" s="9">
        <v>3.0072692348151628</v>
      </c>
    </row>
    <row r="33" spans="1:40" x14ac:dyDescent="0.35">
      <c r="A33" s="3">
        <v>1935</v>
      </c>
      <c r="B33" s="3">
        <v>32.725999999999999</v>
      </c>
      <c r="C33" s="3">
        <v>25.486999999999998</v>
      </c>
      <c r="D33" s="3">
        <v>7.2389999999999999</v>
      </c>
      <c r="E33" s="3">
        <v>32.725999999999999</v>
      </c>
      <c r="F33">
        <v>25.486999999999998</v>
      </c>
      <c r="G33">
        <v>7.2389999999999999</v>
      </c>
      <c r="H33" s="3">
        <v>0</v>
      </c>
      <c r="I33" s="3">
        <v>1.899</v>
      </c>
      <c r="J33" s="11">
        <v>6.9630000000000001</v>
      </c>
      <c r="K33" s="3">
        <v>0</v>
      </c>
      <c r="L33" s="3">
        <v>0.16900000000000001</v>
      </c>
      <c r="M33" s="3">
        <v>63.07</v>
      </c>
      <c r="N33">
        <v>1.8990000000000009</v>
      </c>
      <c r="O33" s="7">
        <v>6.9630000000000027</v>
      </c>
      <c r="P33" s="3">
        <v>30.344000000000001</v>
      </c>
      <c r="Q33" s="3">
        <v>0.57499999999999929</v>
      </c>
      <c r="R33">
        <v>19.085000000000001</v>
      </c>
      <c r="S33" s="3">
        <v>0.64900000000000091</v>
      </c>
      <c r="T33" s="3">
        <v>11.259</v>
      </c>
      <c r="U33" s="3">
        <v>30.344000000000001</v>
      </c>
      <c r="V33" s="7">
        <v>1.2240000000000002</v>
      </c>
      <c r="W33" s="7">
        <v>1.1310013772659007</v>
      </c>
      <c r="X33" s="7">
        <v>9.2998622734099423E-2</v>
      </c>
      <c r="Y33" s="8">
        <v>7.246959141111617</v>
      </c>
      <c r="Z33" s="8">
        <f t="shared" si="0"/>
        <v>-0.28395914111161424</v>
      </c>
      <c r="AA33" s="7">
        <v>4.1470050499749691</v>
      </c>
      <c r="AB33" s="7">
        <v>3.0999540911366474</v>
      </c>
      <c r="AC33" s="5">
        <v>0.57499999999999929</v>
      </c>
      <c r="AD33" s="4">
        <v>19.085000000000001</v>
      </c>
      <c r="AE33" s="5">
        <v>0.64900000000000091</v>
      </c>
      <c r="AF33" s="4">
        <v>11.259</v>
      </c>
      <c r="AG33" s="4">
        <v>30.344000000000001</v>
      </c>
      <c r="AH33" s="5">
        <v>1.2240000000000002</v>
      </c>
      <c r="AI33" s="9">
        <v>1.1310013772659007</v>
      </c>
      <c r="AJ33" s="9">
        <v>9.2998622734099423E-2</v>
      </c>
      <c r="AK33" s="10">
        <v>7.246959141111617</v>
      </c>
      <c r="AL33" s="8">
        <f t="shared" si="2"/>
        <v>-0.28395914111161691</v>
      </c>
      <c r="AM33" s="9">
        <v>4.1470050499749691</v>
      </c>
      <c r="AN33" s="9">
        <v>3.0999540911366474</v>
      </c>
    </row>
    <row r="34" spans="1:40" x14ac:dyDescent="0.35">
      <c r="A34" s="3">
        <v>1936</v>
      </c>
      <c r="B34" s="3">
        <v>33.671999999999997</v>
      </c>
      <c r="C34" s="3">
        <v>26.255999999999997</v>
      </c>
      <c r="D34" s="3">
        <v>7.4160000000000004</v>
      </c>
      <c r="E34" s="3">
        <v>33.671999999999997</v>
      </c>
      <c r="F34">
        <v>26.256</v>
      </c>
      <c r="G34">
        <v>7.4160000000000004</v>
      </c>
      <c r="H34" s="3">
        <v>0</v>
      </c>
      <c r="I34" s="3">
        <v>2.306</v>
      </c>
      <c r="J34" s="11">
        <v>8.4553333333333338</v>
      </c>
      <c r="K34" s="3">
        <v>0</v>
      </c>
      <c r="L34" s="3">
        <v>0.17599999999999999</v>
      </c>
      <c r="M34" s="3">
        <v>65.376999999999995</v>
      </c>
      <c r="N34">
        <v>2.3060000000000045</v>
      </c>
      <c r="O34" s="7">
        <v>8.4553333333333498</v>
      </c>
      <c r="P34" s="3">
        <v>31.704999999999998</v>
      </c>
      <c r="Q34" s="3">
        <v>0.6980000000000004</v>
      </c>
      <c r="R34">
        <v>19.783000000000001</v>
      </c>
      <c r="S34" s="3">
        <v>0.66300000000000026</v>
      </c>
      <c r="T34" s="3">
        <v>11.922000000000001</v>
      </c>
      <c r="U34" s="3">
        <v>31.705000000000002</v>
      </c>
      <c r="V34" s="7">
        <v>1.3610000000000007</v>
      </c>
      <c r="W34" s="7">
        <v>1.2647919208760534</v>
      </c>
      <c r="X34" s="7">
        <v>9.6208079123947354E-2</v>
      </c>
      <c r="Y34" s="8">
        <v>7.8445063473437742</v>
      </c>
      <c r="Z34" s="8">
        <f t="shared" si="0"/>
        <v>0.61082698598957563</v>
      </c>
      <c r="AA34" s="7">
        <v>4.6375703765455292</v>
      </c>
      <c r="AB34" s="7">
        <v>3.206935970798245</v>
      </c>
      <c r="AC34" s="5">
        <v>0.6980000000000004</v>
      </c>
      <c r="AD34" s="4">
        <v>19.783000000000001</v>
      </c>
      <c r="AE34" s="5">
        <v>0.66300000000000026</v>
      </c>
      <c r="AF34" s="4">
        <v>11.922000000000001</v>
      </c>
      <c r="AG34" s="4">
        <v>31.704999999999998</v>
      </c>
      <c r="AH34" s="5">
        <v>1.3609999999999971</v>
      </c>
      <c r="AI34" s="9">
        <v>1.2647919208760534</v>
      </c>
      <c r="AJ34" s="9">
        <v>9.6208079123947354E-2</v>
      </c>
      <c r="AK34" s="10">
        <v>7.8445063473437742</v>
      </c>
      <c r="AL34" s="8">
        <f t="shared" si="2"/>
        <v>0.61082698598955965</v>
      </c>
      <c r="AM34" s="9">
        <v>4.6375703765455292</v>
      </c>
      <c r="AN34" s="9">
        <v>3.206935970798245</v>
      </c>
    </row>
    <row r="35" spans="1:40" x14ac:dyDescent="0.35">
      <c r="A35" s="3">
        <v>1937</v>
      </c>
      <c r="B35" s="3">
        <v>34.725999999999999</v>
      </c>
      <c r="C35" s="3">
        <v>27.122999999999998</v>
      </c>
      <c r="D35" s="3">
        <v>7.6029999999999998</v>
      </c>
      <c r="E35" s="3">
        <v>34.725999999999999</v>
      </c>
      <c r="F35">
        <v>27.123000000000001</v>
      </c>
      <c r="G35">
        <v>7.6029999999999998</v>
      </c>
      <c r="H35" s="3">
        <v>0</v>
      </c>
      <c r="I35" s="3">
        <v>2.4860000000000002</v>
      </c>
      <c r="J35" s="11">
        <v>9.115333333333334</v>
      </c>
      <c r="K35" s="3">
        <v>0</v>
      </c>
      <c r="L35" s="3">
        <v>0.188</v>
      </c>
      <c r="M35" s="3">
        <v>67.861999999999995</v>
      </c>
      <c r="N35">
        <v>2.48599999999999</v>
      </c>
      <c r="O35" s="7">
        <v>9.1153333333332967</v>
      </c>
      <c r="P35" s="3">
        <v>33.136000000000003</v>
      </c>
      <c r="Q35" s="3">
        <v>0.75199999999999889</v>
      </c>
      <c r="R35">
        <v>20.535</v>
      </c>
      <c r="S35" s="3">
        <v>0.67900000000000027</v>
      </c>
      <c r="T35" s="3">
        <v>12.601000000000001</v>
      </c>
      <c r="U35" s="3">
        <v>33.136000000000003</v>
      </c>
      <c r="V35" s="7">
        <v>1.4309999999999992</v>
      </c>
      <c r="W35" s="7">
        <v>1.332065895260524</v>
      </c>
      <c r="X35" s="7">
        <v>9.893410473947517E-2</v>
      </c>
      <c r="Y35" s="8">
        <v>8.1820451072710938</v>
      </c>
      <c r="Z35" s="8">
        <f t="shared" si="0"/>
        <v>0.93328822606220285</v>
      </c>
      <c r="AA35" s="7">
        <v>4.8842416159552542</v>
      </c>
      <c r="AB35" s="7">
        <v>3.2978034913158392</v>
      </c>
      <c r="AC35" s="5">
        <v>0.75199999999999889</v>
      </c>
      <c r="AD35" s="4">
        <v>20.535</v>
      </c>
      <c r="AE35" s="5">
        <v>0.67900000000000027</v>
      </c>
      <c r="AF35" s="4">
        <v>12.601000000000001</v>
      </c>
      <c r="AG35" s="4">
        <v>33.136000000000003</v>
      </c>
      <c r="AH35" s="5">
        <v>1.4310000000000045</v>
      </c>
      <c r="AI35" s="9">
        <v>1.332065895260524</v>
      </c>
      <c r="AJ35" s="9">
        <v>9.893410473947517E-2</v>
      </c>
      <c r="AK35" s="10">
        <v>8.1820451072710938</v>
      </c>
      <c r="AL35" s="8">
        <f t="shared" si="2"/>
        <v>0.93328822606224016</v>
      </c>
      <c r="AM35" s="9">
        <v>4.8842416159552542</v>
      </c>
      <c r="AN35" s="9">
        <v>3.2978034913158392</v>
      </c>
    </row>
    <row r="36" spans="1:40" x14ac:dyDescent="0.35">
      <c r="A36" s="3">
        <v>1938</v>
      </c>
      <c r="B36" s="3">
        <v>35.463999999999999</v>
      </c>
      <c r="C36" s="3">
        <v>27.674999999999997</v>
      </c>
      <c r="D36" s="3">
        <v>7.7889999999999997</v>
      </c>
      <c r="E36" s="3">
        <v>35.463999999999999</v>
      </c>
      <c r="F36">
        <v>27.675000000000001</v>
      </c>
      <c r="G36">
        <v>7.7889999999999997</v>
      </c>
      <c r="H36" s="3">
        <v>0</v>
      </c>
      <c r="I36" s="3">
        <v>2.0470000000000002</v>
      </c>
      <c r="J36" s="11">
        <v>7.5056666666666665</v>
      </c>
      <c r="K36" s="3">
        <v>0</v>
      </c>
      <c r="L36" s="3">
        <v>0.185</v>
      </c>
      <c r="M36" s="3">
        <v>69.908999999999992</v>
      </c>
      <c r="N36">
        <v>2.0480000000000018</v>
      </c>
      <c r="O36" s="7">
        <v>7.5093333333333394</v>
      </c>
      <c r="P36" s="3">
        <v>34.445</v>
      </c>
      <c r="Q36" s="3">
        <v>0.61899999999999977</v>
      </c>
      <c r="R36">
        <v>21.154</v>
      </c>
      <c r="S36" s="3">
        <v>0.6899999999999995</v>
      </c>
      <c r="T36" s="3">
        <v>13.291</v>
      </c>
      <c r="U36" s="3">
        <v>34.445</v>
      </c>
      <c r="V36" s="7">
        <v>1.3089999999999993</v>
      </c>
      <c r="W36" s="7">
        <v>1.2100427664975244</v>
      </c>
      <c r="X36" s="7">
        <v>9.8957233502474873E-2</v>
      </c>
      <c r="Y36" s="8">
        <v>7.7353979272400846</v>
      </c>
      <c r="Z36" s="8">
        <f t="shared" si="0"/>
        <v>-0.22606459390674516</v>
      </c>
      <c r="AA36" s="7">
        <v>4.4368234771575885</v>
      </c>
      <c r="AB36" s="7">
        <v>3.2985744500824956</v>
      </c>
      <c r="AC36" s="5">
        <v>0.61899999999999977</v>
      </c>
      <c r="AD36" s="4">
        <v>21.154</v>
      </c>
      <c r="AE36" s="5">
        <v>0.6899999999999995</v>
      </c>
      <c r="AF36" s="4">
        <v>13.291</v>
      </c>
      <c r="AG36" s="4">
        <v>34.445</v>
      </c>
      <c r="AH36" s="5">
        <v>1.3089999999999975</v>
      </c>
      <c r="AI36" s="9">
        <v>1.2100427664975244</v>
      </c>
      <c r="AJ36" s="9">
        <v>9.8957233502474873E-2</v>
      </c>
      <c r="AK36" s="10">
        <v>7.7353979272400846</v>
      </c>
      <c r="AL36" s="8">
        <f t="shared" si="2"/>
        <v>-0.22973126057341808</v>
      </c>
      <c r="AM36" s="9">
        <v>4.4368234771575885</v>
      </c>
      <c r="AN36" s="9">
        <v>3.2985744500824956</v>
      </c>
    </row>
    <row r="37" spans="1:40" x14ac:dyDescent="0.35">
      <c r="A37" s="3">
        <v>1939</v>
      </c>
      <c r="B37" s="3">
        <v>36.396000000000001</v>
      </c>
      <c r="C37" s="3">
        <v>28.426000000000002</v>
      </c>
      <c r="D37" s="3">
        <v>7.97</v>
      </c>
      <c r="E37" s="3">
        <v>36.396000000000001</v>
      </c>
      <c r="F37">
        <v>28.425999999999998</v>
      </c>
      <c r="G37">
        <v>7.97</v>
      </c>
      <c r="H37" s="3">
        <v>0</v>
      </c>
      <c r="I37" s="3">
        <v>2.359</v>
      </c>
      <c r="J37" s="11">
        <v>8.6496666666666666</v>
      </c>
      <c r="K37" s="3">
        <v>0</v>
      </c>
      <c r="L37" s="3">
        <v>0.18099999999999999</v>
      </c>
      <c r="M37" s="3">
        <v>72.268999999999991</v>
      </c>
      <c r="N37">
        <v>2.3590000000000089</v>
      </c>
      <c r="O37" s="7">
        <v>8.6496666666666986</v>
      </c>
      <c r="P37" s="3">
        <v>35.872999999999998</v>
      </c>
      <c r="Q37" s="3">
        <v>0.71399999999999864</v>
      </c>
      <c r="R37">
        <v>21.867999999999999</v>
      </c>
      <c r="S37" s="3">
        <v>0.71400000000000041</v>
      </c>
      <c r="T37" s="3">
        <v>14.005000000000001</v>
      </c>
      <c r="U37" s="3">
        <v>35.872999999999998</v>
      </c>
      <c r="V37" s="7">
        <v>1.427999999999999</v>
      </c>
      <c r="W37" s="7">
        <v>1.3260360727185945</v>
      </c>
      <c r="X37" s="7">
        <v>0.10196392728140469</v>
      </c>
      <c r="Y37" s="8">
        <v>8.2609298426816693</v>
      </c>
      <c r="Z37" s="8">
        <f t="shared" si="0"/>
        <v>0.38873682398502929</v>
      </c>
      <c r="AA37" s="7">
        <v>4.8621322666348457</v>
      </c>
      <c r="AB37" s="7">
        <v>3.3987975760468228</v>
      </c>
      <c r="AC37" s="5">
        <v>0.71399999999999864</v>
      </c>
      <c r="AD37" s="4">
        <v>21.867999999999999</v>
      </c>
      <c r="AE37" s="5">
        <v>0.71400000000000041</v>
      </c>
      <c r="AF37" s="4">
        <v>14.005000000000001</v>
      </c>
      <c r="AG37" s="4">
        <v>35.872999999999998</v>
      </c>
      <c r="AH37" s="5">
        <v>1.4279999999999973</v>
      </c>
      <c r="AI37" s="9">
        <v>1.3260360727185945</v>
      </c>
      <c r="AJ37" s="9">
        <v>0.10196392728140469</v>
      </c>
      <c r="AK37" s="10">
        <v>8.2609298426816693</v>
      </c>
      <c r="AL37" s="8">
        <f t="shared" si="2"/>
        <v>0.38873682398499732</v>
      </c>
      <c r="AM37" s="9">
        <v>4.8621322666348457</v>
      </c>
      <c r="AN37" s="9">
        <v>3.3987975760468228</v>
      </c>
    </row>
    <row r="38" spans="1:40" x14ac:dyDescent="0.35">
      <c r="A38" s="3">
        <v>1940</v>
      </c>
      <c r="B38" s="3">
        <v>37.573999999999998</v>
      </c>
      <c r="C38" s="3">
        <v>29.406999999999996</v>
      </c>
      <c r="D38" s="3">
        <v>8.1669999999999998</v>
      </c>
      <c r="E38" s="3">
        <v>37.573999999999998</v>
      </c>
      <c r="F38">
        <v>29.407</v>
      </c>
      <c r="G38">
        <v>8.1669999999999998</v>
      </c>
      <c r="H38" s="3">
        <v>0</v>
      </c>
      <c r="I38" s="3">
        <v>2.7360000000000002</v>
      </c>
      <c r="J38" s="11">
        <v>10.032</v>
      </c>
      <c r="K38" s="3">
        <v>0</v>
      </c>
      <c r="L38" s="3">
        <v>0.19700000000000001</v>
      </c>
      <c r="M38" s="3">
        <v>75.004999999999995</v>
      </c>
      <c r="N38">
        <v>2.73599999999999</v>
      </c>
      <c r="O38" s="7">
        <v>10.031999999999963</v>
      </c>
      <c r="P38" s="3">
        <v>37.430999999999997</v>
      </c>
      <c r="Q38" s="3">
        <v>0.82800000000000296</v>
      </c>
      <c r="R38">
        <v>22.696000000000002</v>
      </c>
      <c r="S38" s="3">
        <v>0.72999999999999865</v>
      </c>
      <c r="T38" s="3">
        <v>14.734999999999999</v>
      </c>
      <c r="U38" s="3">
        <v>37.430999999999997</v>
      </c>
      <c r="V38" s="7">
        <v>1.5580000000000016</v>
      </c>
      <c r="W38" s="7">
        <v>1.452684895766327</v>
      </c>
      <c r="X38" s="7">
        <v>0.10531510423367463</v>
      </c>
      <c r="Y38" s="8">
        <v>8.8370147589323533</v>
      </c>
      <c r="Z38" s="8">
        <f t="shared" si="0"/>
        <v>1.1949852410676094</v>
      </c>
      <c r="AA38" s="7">
        <v>5.3265112844765321</v>
      </c>
      <c r="AB38" s="7">
        <v>3.5105034744558208</v>
      </c>
      <c r="AC38" s="5">
        <v>0.82800000000000296</v>
      </c>
      <c r="AD38" s="4">
        <v>22.696000000000002</v>
      </c>
      <c r="AE38" s="5">
        <v>0.72999999999999865</v>
      </c>
      <c r="AF38" s="4">
        <v>14.734999999999999</v>
      </c>
      <c r="AG38" s="4">
        <v>37.430999999999997</v>
      </c>
      <c r="AH38" s="5">
        <v>1.5579999999999998</v>
      </c>
      <c r="AI38" s="9">
        <v>1.452684895766327</v>
      </c>
      <c r="AJ38" s="9">
        <v>0.10531510423367463</v>
      </c>
      <c r="AK38" s="10">
        <v>8.8370147589323533</v>
      </c>
      <c r="AL38" s="8">
        <f t="shared" si="2"/>
        <v>1.1949852410676467</v>
      </c>
      <c r="AM38" s="9">
        <v>5.3265112844765321</v>
      </c>
      <c r="AN38" s="9">
        <v>3.5105034744558208</v>
      </c>
    </row>
    <row r="39" spans="1:40" x14ac:dyDescent="0.35">
      <c r="A39" s="3">
        <v>1941</v>
      </c>
      <c r="B39" s="3">
        <v>39.097000000000001</v>
      </c>
      <c r="C39" s="3">
        <v>30.706000000000003</v>
      </c>
      <c r="D39" s="3">
        <v>8.391</v>
      </c>
      <c r="E39" s="3">
        <v>39.097000000000001</v>
      </c>
      <c r="F39">
        <v>30.706</v>
      </c>
      <c r="G39">
        <v>8.391</v>
      </c>
      <c r="H39" s="3">
        <v>0</v>
      </c>
      <c r="I39" s="3">
        <v>3.2639999999999998</v>
      </c>
      <c r="J39" s="11">
        <v>11.967999999999998</v>
      </c>
      <c r="K39" s="3">
        <v>0</v>
      </c>
      <c r="L39" s="3">
        <v>0.224</v>
      </c>
      <c r="M39" s="3">
        <v>78.27000000000001</v>
      </c>
      <c r="N39">
        <v>3.2650000000000006</v>
      </c>
      <c r="O39" s="7">
        <v>11.971666666666668</v>
      </c>
      <c r="P39" s="3">
        <v>39.173000000000002</v>
      </c>
      <c r="Q39" s="3">
        <v>0.98799999999999955</v>
      </c>
      <c r="R39">
        <v>23.684000000000001</v>
      </c>
      <c r="S39" s="3">
        <v>0.75400000000000134</v>
      </c>
      <c r="T39" s="3">
        <v>15.489000000000001</v>
      </c>
      <c r="U39" s="3">
        <v>39.173000000000002</v>
      </c>
      <c r="V39" s="7">
        <v>1.7420000000000009</v>
      </c>
      <c r="W39" s="7">
        <v>1.6317778138196222</v>
      </c>
      <c r="X39" s="7">
        <v>0.11022218618037871</v>
      </c>
      <c r="Y39" s="8">
        <v>9.6572581900179042</v>
      </c>
      <c r="Z39" s="8">
        <f t="shared" si="0"/>
        <v>2.3144084766487634</v>
      </c>
      <c r="AA39" s="7">
        <v>5.9831853173386147</v>
      </c>
      <c r="AB39" s="7">
        <v>3.6740728726792899</v>
      </c>
      <c r="AC39" s="5">
        <v>0.98799999999999955</v>
      </c>
      <c r="AD39" s="4">
        <v>23.684000000000001</v>
      </c>
      <c r="AE39" s="5">
        <v>0.75400000000000134</v>
      </c>
      <c r="AF39" s="4">
        <v>15.489000000000001</v>
      </c>
      <c r="AG39" s="4">
        <v>39.173000000000002</v>
      </c>
      <c r="AH39" s="5">
        <v>1.7420000000000044</v>
      </c>
      <c r="AI39" s="9">
        <v>1.6317778138196222</v>
      </c>
      <c r="AJ39" s="9">
        <v>0.11022218618037871</v>
      </c>
      <c r="AK39" s="10">
        <v>9.6572581900179042</v>
      </c>
      <c r="AL39" s="8">
        <f t="shared" si="2"/>
        <v>2.310741809982094</v>
      </c>
      <c r="AM39" s="9">
        <v>5.9831853173386147</v>
      </c>
      <c r="AN39" s="9">
        <v>3.6740728726792899</v>
      </c>
    </row>
    <row r="40" spans="1:40" x14ac:dyDescent="0.35">
      <c r="A40" s="3">
        <v>1942</v>
      </c>
      <c r="B40" s="3">
        <v>40.594999999999999</v>
      </c>
      <c r="C40" s="3">
        <v>31.957000000000001</v>
      </c>
      <c r="D40" s="3">
        <v>8.6379999999999999</v>
      </c>
      <c r="E40" s="3">
        <v>40.594999999999999</v>
      </c>
      <c r="F40">
        <v>31.957999999999998</v>
      </c>
      <c r="G40">
        <v>8.6379999999999999</v>
      </c>
      <c r="H40" s="3">
        <v>0</v>
      </c>
      <c r="I40" s="3">
        <v>3.262</v>
      </c>
      <c r="J40" s="11">
        <v>11.960666666666667</v>
      </c>
      <c r="K40" s="3">
        <v>0</v>
      </c>
      <c r="L40" s="3">
        <v>0.247</v>
      </c>
      <c r="M40" s="3">
        <v>81.530999999999992</v>
      </c>
      <c r="N40">
        <v>3.2620000000000005</v>
      </c>
      <c r="O40" s="7">
        <v>11.960666666666668</v>
      </c>
      <c r="P40" s="3">
        <v>40.936</v>
      </c>
      <c r="Q40" s="3">
        <v>0.98699999999999832</v>
      </c>
      <c r="R40">
        <v>24.670999999999999</v>
      </c>
      <c r="S40" s="3">
        <v>0.7759999999999998</v>
      </c>
      <c r="T40" s="3">
        <v>16.265000000000001</v>
      </c>
      <c r="U40" s="3">
        <v>40.936</v>
      </c>
      <c r="V40" s="7">
        <v>1.7629999999999981</v>
      </c>
      <c r="W40" s="7">
        <v>1.6498863154410097</v>
      </c>
      <c r="X40" s="7">
        <v>0.1131136845589884</v>
      </c>
      <c r="Y40" s="8">
        <v>9.8200393085833166</v>
      </c>
      <c r="Z40" s="8">
        <f t="shared" si="0"/>
        <v>2.1406273580833517</v>
      </c>
      <c r="AA40" s="7">
        <v>6.0495831566170359</v>
      </c>
      <c r="AB40" s="7">
        <v>3.7704561519662803</v>
      </c>
      <c r="AC40" s="5">
        <v>0.98699999999999832</v>
      </c>
      <c r="AD40" s="4">
        <v>24.670999999999999</v>
      </c>
      <c r="AE40" s="5">
        <v>0.7759999999999998</v>
      </c>
      <c r="AF40" s="4">
        <v>16.265000000000001</v>
      </c>
      <c r="AG40" s="4">
        <v>40.936</v>
      </c>
      <c r="AH40" s="5">
        <v>1.7629999999999981</v>
      </c>
      <c r="AI40" s="9">
        <v>1.6498863154410097</v>
      </c>
      <c r="AJ40" s="9">
        <v>0.1131136845589884</v>
      </c>
      <c r="AK40" s="10">
        <v>9.8200393085833166</v>
      </c>
      <c r="AL40" s="8">
        <f t="shared" si="2"/>
        <v>2.1406273580833499</v>
      </c>
      <c r="AM40" s="9">
        <v>6.0495831566170359</v>
      </c>
      <c r="AN40" s="9">
        <v>3.7704561519662803</v>
      </c>
    </row>
    <row r="41" spans="1:40" x14ac:dyDescent="0.35">
      <c r="A41" s="3">
        <v>1943</v>
      </c>
      <c r="B41" s="3">
        <v>42.091999999999999</v>
      </c>
      <c r="C41" s="3">
        <v>33.188000000000002</v>
      </c>
      <c r="D41" s="3">
        <v>8.9039999999999999</v>
      </c>
      <c r="E41" s="3">
        <v>42.091999999999999</v>
      </c>
      <c r="F41">
        <v>33.189</v>
      </c>
      <c r="G41">
        <v>8.9030000000000005</v>
      </c>
      <c r="H41" s="3">
        <v>0</v>
      </c>
      <c r="I41" s="3">
        <v>3.294</v>
      </c>
      <c r="J41" s="11">
        <v>12.077999999999999</v>
      </c>
      <c r="K41" s="3">
        <v>0</v>
      </c>
      <c r="L41" s="3">
        <v>0.26600000000000001</v>
      </c>
      <c r="M41" s="3">
        <v>84.825999999999993</v>
      </c>
      <c r="N41">
        <v>3.2939999999999969</v>
      </c>
      <c r="O41" s="7">
        <v>12.077999999999989</v>
      </c>
      <c r="P41" s="3">
        <v>42.734000000000002</v>
      </c>
      <c r="Q41" s="3">
        <v>0.99699999999999989</v>
      </c>
      <c r="R41">
        <v>25.667999999999999</v>
      </c>
      <c r="S41" s="3">
        <v>0.80099999999999838</v>
      </c>
      <c r="T41" s="3">
        <v>17.065999999999999</v>
      </c>
      <c r="U41" s="3">
        <v>42.733999999999995</v>
      </c>
      <c r="V41" s="7">
        <v>1.7979999999999983</v>
      </c>
      <c r="W41" s="7">
        <v>1.6814793546677271</v>
      </c>
      <c r="X41" s="7">
        <v>0.11652064533227124</v>
      </c>
      <c r="Y41" s="8">
        <v>10.049445811524041</v>
      </c>
      <c r="Z41" s="8">
        <f t="shared" si="0"/>
        <v>2.0285541884759475</v>
      </c>
      <c r="AA41" s="7">
        <v>6.1654243004483327</v>
      </c>
      <c r="AB41" s="7">
        <v>3.8840215110757081</v>
      </c>
      <c r="AC41" s="5">
        <v>0.99699999999999989</v>
      </c>
      <c r="AD41" s="4">
        <v>25.667999999999999</v>
      </c>
      <c r="AE41" s="5">
        <v>0.80099999999999838</v>
      </c>
      <c r="AF41" s="4">
        <v>17.065999999999999</v>
      </c>
      <c r="AG41" s="4">
        <v>42.734000000000002</v>
      </c>
      <c r="AH41" s="5">
        <v>1.7980000000000018</v>
      </c>
      <c r="AI41" s="9">
        <v>1.6814793546677271</v>
      </c>
      <c r="AJ41" s="9">
        <v>0.11652064533227124</v>
      </c>
      <c r="AK41" s="10">
        <v>10.049445811524041</v>
      </c>
      <c r="AL41" s="8">
        <f t="shared" si="2"/>
        <v>2.0285541884759581</v>
      </c>
      <c r="AM41" s="9">
        <v>6.1654243004483327</v>
      </c>
      <c r="AN41" s="9">
        <v>3.8840215110757081</v>
      </c>
    </row>
    <row r="42" spans="1:40" x14ac:dyDescent="0.35">
      <c r="A42" s="3">
        <v>1944</v>
      </c>
      <c r="B42" s="3">
        <v>43.677</v>
      </c>
      <c r="C42" s="3">
        <v>34.488</v>
      </c>
      <c r="D42" s="3">
        <v>9.1890000000000001</v>
      </c>
      <c r="E42" s="3">
        <v>43.677</v>
      </c>
      <c r="F42">
        <v>34.488</v>
      </c>
      <c r="G42">
        <v>9.1880000000000006</v>
      </c>
      <c r="H42" s="3">
        <v>0</v>
      </c>
      <c r="I42" s="3">
        <v>3.4569999999999999</v>
      </c>
      <c r="J42" s="11">
        <v>12.675666666666666</v>
      </c>
      <c r="K42" s="3">
        <v>0</v>
      </c>
      <c r="L42" s="3">
        <v>0.28499999999999998</v>
      </c>
      <c r="M42" s="3">
        <v>88.282999999999987</v>
      </c>
      <c r="N42">
        <v>3.4570000000000078</v>
      </c>
      <c r="O42" s="7">
        <v>12.675666666666695</v>
      </c>
      <c r="P42" s="3">
        <v>44.606000000000002</v>
      </c>
      <c r="Q42" s="3">
        <v>1.0459999999999994</v>
      </c>
      <c r="R42">
        <v>26.713999999999999</v>
      </c>
      <c r="S42" s="3">
        <v>0.82600000000000051</v>
      </c>
      <c r="T42" s="3">
        <v>17.891999999999999</v>
      </c>
      <c r="U42" s="3">
        <v>44.605999999999995</v>
      </c>
      <c r="V42" s="7">
        <v>1.8719999999999999</v>
      </c>
      <c r="W42" s="7">
        <v>1.7516480615502314</v>
      </c>
      <c r="X42" s="7">
        <v>0.12035193844976844</v>
      </c>
      <c r="Y42" s="8">
        <v>10.434440840676462</v>
      </c>
      <c r="Z42" s="8">
        <f t="shared" si="0"/>
        <v>2.2412258259902327</v>
      </c>
      <c r="AA42" s="7">
        <v>6.4227095590175143</v>
      </c>
      <c r="AB42" s="7">
        <v>4.0117312816589479</v>
      </c>
      <c r="AC42" s="5">
        <v>1.0459999999999994</v>
      </c>
      <c r="AD42" s="4">
        <v>26.713999999999999</v>
      </c>
      <c r="AE42" s="5">
        <v>0.82600000000000051</v>
      </c>
      <c r="AF42" s="4">
        <v>17.891999999999999</v>
      </c>
      <c r="AG42" s="4">
        <v>44.606000000000002</v>
      </c>
      <c r="AH42" s="5">
        <v>1.8719999999999999</v>
      </c>
      <c r="AI42" s="9">
        <v>1.7516480615502314</v>
      </c>
      <c r="AJ42" s="9">
        <v>0.12035193844976844</v>
      </c>
      <c r="AK42" s="10">
        <v>10.434440840676462</v>
      </c>
      <c r="AL42" s="8">
        <f t="shared" si="2"/>
        <v>2.2412258259902043</v>
      </c>
      <c r="AM42" s="9">
        <v>6.4227095590175143</v>
      </c>
      <c r="AN42" s="9">
        <v>4.0117312816589479</v>
      </c>
    </row>
    <row r="43" spans="1:40" x14ac:dyDescent="0.35">
      <c r="A43" s="3">
        <v>1945</v>
      </c>
      <c r="B43" s="3">
        <v>45.034999999999997</v>
      </c>
      <c r="C43" s="3">
        <v>35.552999999999997</v>
      </c>
      <c r="D43" s="3">
        <v>9.4819999999999993</v>
      </c>
      <c r="E43" s="3">
        <v>45.034999999999997</v>
      </c>
      <c r="F43">
        <v>35.554000000000002</v>
      </c>
      <c r="G43">
        <v>9.4819999999999993</v>
      </c>
      <c r="H43" s="3">
        <v>0</v>
      </c>
      <c r="I43" s="3">
        <v>3.165</v>
      </c>
      <c r="J43" s="11">
        <v>11.605</v>
      </c>
      <c r="K43" s="3">
        <v>0</v>
      </c>
      <c r="L43" s="3">
        <v>0.29299999999999998</v>
      </c>
      <c r="M43" s="3">
        <v>91.446999999999989</v>
      </c>
      <c r="N43">
        <v>3.164999999999992</v>
      </c>
      <c r="O43" s="7">
        <v>11.60499999999997</v>
      </c>
      <c r="P43" s="3">
        <v>46.411999999999999</v>
      </c>
      <c r="Q43" s="3">
        <v>0.95800000000000196</v>
      </c>
      <c r="R43">
        <v>27.672000000000001</v>
      </c>
      <c r="S43" s="3">
        <v>0.84799999999999898</v>
      </c>
      <c r="T43" s="3">
        <v>18.739999999999998</v>
      </c>
      <c r="U43" s="3">
        <v>46.411999999999999</v>
      </c>
      <c r="V43" s="7">
        <v>1.8060000000000009</v>
      </c>
      <c r="W43" s="7">
        <v>1.683703150708715</v>
      </c>
      <c r="X43" s="7">
        <v>0.12229684929128593</v>
      </c>
      <c r="Y43" s="8">
        <v>10.250139862308153</v>
      </c>
      <c r="Z43" s="8">
        <f t="shared" si="0"/>
        <v>1.3548601376918175</v>
      </c>
      <c r="AA43" s="7">
        <v>6.1735782192652877</v>
      </c>
      <c r="AB43" s="7">
        <v>4.0765616430428642</v>
      </c>
      <c r="AC43" s="5">
        <v>0.95800000000000196</v>
      </c>
      <c r="AD43" s="4">
        <v>27.672000000000001</v>
      </c>
      <c r="AE43" s="5">
        <v>0.8490000000000002</v>
      </c>
      <c r="AF43" s="4">
        <v>18.741</v>
      </c>
      <c r="AG43" s="4">
        <v>46.412999999999997</v>
      </c>
      <c r="AH43" s="5">
        <v>1.8069999999999951</v>
      </c>
      <c r="AI43" s="9">
        <v>1.684571224404392</v>
      </c>
      <c r="AJ43" s="9">
        <v>0.12242877559561016</v>
      </c>
      <c r="AK43" s="10">
        <v>10.257720342669776</v>
      </c>
      <c r="AL43" s="8">
        <f t="shared" si="2"/>
        <v>1.3472796573302244</v>
      </c>
      <c r="AM43" s="9">
        <v>6.1767611561494373</v>
      </c>
      <c r="AN43" s="9">
        <v>4.0809591865203387</v>
      </c>
    </row>
    <row r="44" spans="1:40" x14ac:dyDescent="0.35">
      <c r="A44" s="3">
        <v>1946</v>
      </c>
      <c r="B44" s="3">
        <v>46.776000000000003</v>
      </c>
      <c r="C44" s="3">
        <v>36.980000000000004</v>
      </c>
      <c r="D44" s="3">
        <v>9.7959999999999994</v>
      </c>
      <c r="E44" s="3">
        <v>46.776000000000003</v>
      </c>
      <c r="F44">
        <v>36.981000000000002</v>
      </c>
      <c r="G44">
        <v>9.7949999999999999</v>
      </c>
      <c r="H44" s="3">
        <v>0</v>
      </c>
      <c r="I44" s="3">
        <v>3.7549999999999999</v>
      </c>
      <c r="J44" s="11">
        <v>13.768333333333333</v>
      </c>
      <c r="K44" s="3">
        <v>0</v>
      </c>
      <c r="L44" s="3">
        <v>0.314</v>
      </c>
      <c r="M44" s="3">
        <v>95.201999999999998</v>
      </c>
      <c r="N44">
        <v>3.7540000000000049</v>
      </c>
      <c r="O44" s="7">
        <v>13.764666666666685</v>
      </c>
      <c r="P44" s="3">
        <v>48.426000000000002</v>
      </c>
      <c r="Q44" s="3">
        <v>1.1359999999999992</v>
      </c>
      <c r="R44">
        <v>28.808</v>
      </c>
      <c r="S44" s="3">
        <v>0.87800000000000011</v>
      </c>
      <c r="T44" s="3">
        <v>19.617999999999999</v>
      </c>
      <c r="U44" s="3">
        <v>48.426000000000002</v>
      </c>
      <c r="V44" s="7">
        <v>2.0139999999999993</v>
      </c>
      <c r="W44" s="7">
        <v>1.885808665238736</v>
      </c>
      <c r="X44" s="7">
        <v>0.12819133476126332</v>
      </c>
      <c r="Y44" s="8">
        <v>11.187676264584143</v>
      </c>
      <c r="Z44" s="8">
        <f t="shared" si="0"/>
        <v>2.5769904020825418</v>
      </c>
      <c r="AA44" s="7">
        <v>6.9146317725420321</v>
      </c>
      <c r="AB44" s="7">
        <v>4.2730444920421107</v>
      </c>
      <c r="AC44" s="5">
        <v>1.1359999999999992</v>
      </c>
      <c r="AD44" s="4">
        <v>28.808</v>
      </c>
      <c r="AE44" s="5">
        <v>0.87800000000000011</v>
      </c>
      <c r="AF44" s="4">
        <v>19.619</v>
      </c>
      <c r="AG44" s="4">
        <v>48.427</v>
      </c>
      <c r="AH44" s="5">
        <v>2.0140000000000029</v>
      </c>
      <c r="AI44" s="9">
        <v>1.885808665238736</v>
      </c>
      <c r="AJ44" s="9">
        <v>0.12819133476126332</v>
      </c>
      <c r="AK44" s="10">
        <v>11.187676264584143</v>
      </c>
      <c r="AL44" s="8">
        <f t="shared" si="2"/>
        <v>2.5806570687491899</v>
      </c>
      <c r="AM44" s="9">
        <v>6.9146317725420321</v>
      </c>
      <c r="AN44" s="9">
        <v>4.2730444920421107</v>
      </c>
    </row>
    <row r="45" spans="1:40" x14ac:dyDescent="0.35">
      <c r="A45" s="3">
        <v>1947</v>
      </c>
      <c r="B45" s="3">
        <v>49.186</v>
      </c>
      <c r="C45" s="3">
        <v>39.031999999999996</v>
      </c>
      <c r="D45" s="3">
        <v>10.154</v>
      </c>
      <c r="E45" s="3">
        <v>49.186</v>
      </c>
      <c r="F45">
        <v>39.033000000000001</v>
      </c>
      <c r="G45">
        <v>10.153</v>
      </c>
      <c r="H45" s="3">
        <v>0</v>
      </c>
      <c r="I45" s="3">
        <v>4.7729999999999997</v>
      </c>
      <c r="J45" s="11">
        <v>17.500999999999998</v>
      </c>
      <c r="K45" s="3">
        <v>0</v>
      </c>
      <c r="L45" s="3">
        <v>0.35799999999999998</v>
      </c>
      <c r="M45" s="3">
        <v>99.974000000000004</v>
      </c>
      <c r="N45">
        <v>4.7729999999999961</v>
      </c>
      <c r="O45" s="7">
        <v>17.500999999999983</v>
      </c>
      <c r="P45" s="3">
        <v>50.787999999999997</v>
      </c>
      <c r="Q45" s="3">
        <v>1.4439999999999991</v>
      </c>
      <c r="R45">
        <v>30.251999999999999</v>
      </c>
      <c r="S45" s="3">
        <v>0.91800000000000281</v>
      </c>
      <c r="T45" s="3">
        <v>20.536000000000001</v>
      </c>
      <c r="U45" s="3">
        <v>50.787999999999997</v>
      </c>
      <c r="V45" s="7">
        <v>2.3620000000000019</v>
      </c>
      <c r="W45" s="7">
        <v>2.2251804755781421</v>
      </c>
      <c r="X45" s="7">
        <v>0.13681952442185996</v>
      </c>
      <c r="Y45" s="8">
        <v>12.719645891181852</v>
      </c>
      <c r="Z45" s="8">
        <f t="shared" si="0"/>
        <v>4.7813541088181317</v>
      </c>
      <c r="AA45" s="7">
        <v>8.1589950771198527</v>
      </c>
      <c r="AB45" s="7">
        <v>4.5606508140619981</v>
      </c>
      <c r="AC45" s="5">
        <v>1.4439999999999991</v>
      </c>
      <c r="AD45" s="4">
        <v>30.251999999999999</v>
      </c>
      <c r="AE45" s="5">
        <v>0.91799999999999926</v>
      </c>
      <c r="AF45" s="4">
        <v>20.536999999999999</v>
      </c>
      <c r="AG45" s="4">
        <v>50.789000000000001</v>
      </c>
      <c r="AH45" s="5">
        <v>2.3620000000000019</v>
      </c>
      <c r="AI45" s="9">
        <v>2.2251804755781386</v>
      </c>
      <c r="AJ45" s="9">
        <v>0.13681952442185952</v>
      </c>
      <c r="AK45" s="10">
        <v>12.719645891181827</v>
      </c>
      <c r="AL45" s="8">
        <f t="shared" si="2"/>
        <v>4.7813541088181708</v>
      </c>
      <c r="AM45" s="9">
        <v>8.1589950771198421</v>
      </c>
      <c r="AN45" s="9">
        <v>4.5606508140619839</v>
      </c>
    </row>
    <row r="46" spans="1:40" x14ac:dyDescent="0.35">
      <c r="A46" s="3">
        <v>1948</v>
      </c>
      <c r="B46" s="3">
        <v>52.094999999999999</v>
      </c>
      <c r="C46" s="3">
        <v>41.525999999999996</v>
      </c>
      <c r="D46" s="3">
        <v>10.569000000000001</v>
      </c>
      <c r="E46" s="3">
        <v>52.094999999999999</v>
      </c>
      <c r="F46">
        <v>41.527000000000001</v>
      </c>
      <c r="G46">
        <v>10.568</v>
      </c>
      <c r="H46" s="3">
        <v>0</v>
      </c>
      <c r="I46" s="3">
        <v>5.5590000000000002</v>
      </c>
      <c r="J46" s="11">
        <v>20.382999999999999</v>
      </c>
      <c r="K46" s="3">
        <v>0</v>
      </c>
      <c r="L46" s="3">
        <v>0.41599999999999998</v>
      </c>
      <c r="M46" s="3">
        <v>105.533</v>
      </c>
      <c r="N46">
        <v>5.5590000000000117</v>
      </c>
      <c r="O46" s="7">
        <v>20.383000000000042</v>
      </c>
      <c r="P46" s="3">
        <v>53.438000000000002</v>
      </c>
      <c r="Q46" s="3">
        <v>1.6820000000000022</v>
      </c>
      <c r="R46">
        <v>31.934000000000001</v>
      </c>
      <c r="S46" s="3">
        <v>0.96799999999999997</v>
      </c>
      <c r="T46" s="3">
        <v>21.504000000000001</v>
      </c>
      <c r="U46" s="3">
        <v>53.438000000000002</v>
      </c>
      <c r="V46" s="7">
        <v>2.6500000000000021</v>
      </c>
      <c r="W46" s="7">
        <v>2.5039946450305872</v>
      </c>
      <c r="X46" s="7">
        <v>0.1460053549694148</v>
      </c>
      <c r="Y46" s="8">
        <v>14.048158864092645</v>
      </c>
      <c r="Z46" s="8">
        <f t="shared" si="0"/>
        <v>6.3348411359073964</v>
      </c>
      <c r="AA46" s="7">
        <v>9.1813136984454857</v>
      </c>
      <c r="AB46" s="7">
        <v>4.8668451656471596</v>
      </c>
      <c r="AC46" s="5">
        <v>1.6820000000000022</v>
      </c>
      <c r="AD46" s="4">
        <v>31.934000000000001</v>
      </c>
      <c r="AE46" s="5">
        <v>0.96799999999999997</v>
      </c>
      <c r="AF46" s="4">
        <v>21.504999999999999</v>
      </c>
      <c r="AG46" s="4">
        <v>53.439</v>
      </c>
      <c r="AH46" s="5">
        <v>2.6499999999999986</v>
      </c>
      <c r="AI46" s="9">
        <v>2.5039946450305872</v>
      </c>
      <c r="AJ46" s="9">
        <v>0.1460053549694148</v>
      </c>
      <c r="AK46" s="10">
        <v>14.048158864092645</v>
      </c>
      <c r="AL46" s="8">
        <f t="shared" si="2"/>
        <v>6.3348411359073538</v>
      </c>
      <c r="AM46" s="9">
        <v>9.1813136984454857</v>
      </c>
      <c r="AN46" s="9">
        <v>4.8668451656471596</v>
      </c>
    </row>
    <row r="47" spans="1:40" x14ac:dyDescent="0.35">
      <c r="A47" s="3">
        <v>1949</v>
      </c>
      <c r="B47" s="3">
        <v>54.802</v>
      </c>
      <c r="C47" s="3">
        <v>43.774999999999999</v>
      </c>
      <c r="D47" s="3">
        <v>11.026999999999999</v>
      </c>
      <c r="E47" s="3">
        <v>54.802</v>
      </c>
      <c r="F47">
        <v>43.776000000000003</v>
      </c>
      <c r="G47">
        <v>11.026</v>
      </c>
      <c r="H47" s="3">
        <v>0</v>
      </c>
      <c r="I47" s="3">
        <v>5.3360000000000003</v>
      </c>
      <c r="J47" s="11">
        <v>19.565333333333335</v>
      </c>
      <c r="K47" s="3">
        <v>0</v>
      </c>
      <c r="L47" s="3">
        <v>0.45800000000000002</v>
      </c>
      <c r="M47" s="3">
        <v>110.87</v>
      </c>
      <c r="N47">
        <v>5.3359999999999985</v>
      </c>
      <c r="O47" s="7">
        <v>19.565333333333328</v>
      </c>
      <c r="P47" s="3">
        <v>56.067999999999998</v>
      </c>
      <c r="Q47" s="3">
        <v>1.6149999999999984</v>
      </c>
      <c r="R47">
        <v>33.548999999999999</v>
      </c>
      <c r="S47" s="3">
        <v>1.014999999999997</v>
      </c>
      <c r="T47" s="3">
        <v>22.518999999999998</v>
      </c>
      <c r="U47" s="3">
        <v>56.067999999999998</v>
      </c>
      <c r="V47" s="7">
        <v>2.6299999999999955</v>
      </c>
      <c r="W47" s="7">
        <v>2.4785230899340789</v>
      </c>
      <c r="X47" s="7">
        <v>0.15147691006591646</v>
      </c>
      <c r="Y47" s="8">
        <v>14.137148331955505</v>
      </c>
      <c r="Z47" s="8">
        <f t="shared" si="0"/>
        <v>5.4281850013778232</v>
      </c>
      <c r="AA47" s="7">
        <v>9.0879179964249559</v>
      </c>
      <c r="AB47" s="7">
        <v>5.0492303355305479</v>
      </c>
      <c r="AC47" s="5">
        <v>1.6149999999999984</v>
      </c>
      <c r="AD47" s="4">
        <v>33.548999999999999</v>
      </c>
      <c r="AE47" s="5">
        <v>1.0150000000000006</v>
      </c>
      <c r="AF47" s="4">
        <v>22.52</v>
      </c>
      <c r="AG47" s="4">
        <v>56.069000000000003</v>
      </c>
      <c r="AH47" s="5">
        <v>2.6300000000000026</v>
      </c>
      <c r="AI47" s="9">
        <v>2.478523089934082</v>
      </c>
      <c r="AJ47" s="9">
        <v>0.15147691006591701</v>
      </c>
      <c r="AK47" s="10">
        <v>14.137148331955533</v>
      </c>
      <c r="AL47" s="8">
        <f t="shared" si="2"/>
        <v>5.4281850013778019</v>
      </c>
      <c r="AM47" s="9">
        <v>9.0879179964249666</v>
      </c>
      <c r="AN47" s="9">
        <v>5.0492303355305665</v>
      </c>
    </row>
    <row r="48" spans="1:40" x14ac:dyDescent="0.35">
      <c r="A48" s="3">
        <v>1950</v>
      </c>
      <c r="B48" s="3">
        <v>57.896999999999998</v>
      </c>
      <c r="C48" s="3">
        <v>46.360999999999997</v>
      </c>
      <c r="D48">
        <v>11.536</v>
      </c>
      <c r="E48" s="3">
        <v>57.896999999999998</v>
      </c>
      <c r="F48">
        <v>46.360999999999997</v>
      </c>
      <c r="G48">
        <v>11.536</v>
      </c>
      <c r="H48" s="3">
        <v>0</v>
      </c>
      <c r="I48" s="3">
        <v>5.9690000000000003</v>
      </c>
      <c r="J48" s="11">
        <v>21.886333333333333</v>
      </c>
      <c r="K48" s="3">
        <v>0</v>
      </c>
      <c r="L48" s="3">
        <v>0.51100000000000001</v>
      </c>
      <c r="M48" s="3">
        <v>116.83699999999999</v>
      </c>
      <c r="N48">
        <v>5.9689999999999941</v>
      </c>
      <c r="O48" s="7">
        <v>21.886333333333312</v>
      </c>
      <c r="P48" s="3">
        <v>58.94</v>
      </c>
      <c r="Q48" s="3">
        <v>1.8059999999999974</v>
      </c>
      <c r="R48">
        <v>35.354999999999997</v>
      </c>
      <c r="S48" s="3">
        <v>1.0660000000000025</v>
      </c>
      <c r="T48" s="3">
        <v>23.585000000000001</v>
      </c>
      <c r="U48" s="3">
        <v>58.94</v>
      </c>
      <c r="V48" s="7">
        <v>2.8719999999999999</v>
      </c>
      <c r="W48" s="7">
        <v>2.7117167079585633</v>
      </c>
      <c r="X48" s="7">
        <v>0.16028329204143665</v>
      </c>
      <c r="Y48" s="8">
        <v>15.285737663895954</v>
      </c>
      <c r="Z48" s="8">
        <f t="shared" si="0"/>
        <v>6.6005956694373573</v>
      </c>
      <c r="AA48" s="7">
        <v>9.9429612625147321</v>
      </c>
      <c r="AB48" s="7">
        <v>5.3427764013812213</v>
      </c>
      <c r="AC48" s="5">
        <v>1.8059999999999974</v>
      </c>
      <c r="AD48" s="4">
        <v>35.354999999999997</v>
      </c>
      <c r="AE48" s="5">
        <v>1.0670000000000002</v>
      </c>
      <c r="AF48" s="4">
        <v>23.587</v>
      </c>
      <c r="AG48" s="4">
        <v>58.942</v>
      </c>
      <c r="AH48" s="5">
        <v>2.8729999999999976</v>
      </c>
      <c r="AI48" s="9">
        <v>2.712584781654237</v>
      </c>
      <c r="AJ48" s="9">
        <v>0.16041521834576034</v>
      </c>
      <c r="AK48" s="10">
        <v>15.293318144257547</v>
      </c>
      <c r="AL48" s="8">
        <f t="shared" si="2"/>
        <v>6.5930151890757855</v>
      </c>
      <c r="AM48" s="9">
        <v>9.9461441993988693</v>
      </c>
      <c r="AN48" s="9">
        <v>5.3471739448586781</v>
      </c>
    </row>
    <row r="49" spans="1:40" x14ac:dyDescent="0.35">
      <c r="A49" s="3">
        <v>1951</v>
      </c>
      <c r="B49" s="3">
        <v>61.523000000000003</v>
      </c>
      <c r="C49" s="3">
        <v>49.411000000000001</v>
      </c>
      <c r="D49">
        <v>12.112</v>
      </c>
      <c r="E49" s="3">
        <v>61.523000000000003</v>
      </c>
      <c r="F49">
        <v>49.411000000000001</v>
      </c>
      <c r="G49">
        <v>12.112</v>
      </c>
      <c r="H49" s="3">
        <v>0</v>
      </c>
      <c r="I49" s="3">
        <v>6.8179999999999996</v>
      </c>
      <c r="J49" s="11">
        <v>24.999333333333333</v>
      </c>
      <c r="K49" s="3">
        <v>0</v>
      </c>
      <c r="L49" s="3">
        <v>0.57599999999999996</v>
      </c>
      <c r="M49" s="3">
        <v>123.655</v>
      </c>
      <c r="N49">
        <v>6.8179999999999978</v>
      </c>
      <c r="O49" s="7">
        <v>24.999333333333325</v>
      </c>
      <c r="P49" s="3">
        <v>62.131999999999998</v>
      </c>
      <c r="Q49" s="3">
        <v>2.0630000000000024</v>
      </c>
      <c r="R49">
        <v>37.417999999999999</v>
      </c>
      <c r="S49" s="3">
        <v>1.1289999999999978</v>
      </c>
      <c r="T49" s="3">
        <v>24.713999999999999</v>
      </c>
      <c r="U49" s="3">
        <v>62.131999999999998</v>
      </c>
      <c r="V49" s="7">
        <v>3.1920000000000002</v>
      </c>
      <c r="W49" s="7">
        <v>3.0206091094409491</v>
      </c>
      <c r="X49" s="7">
        <v>0.17139089055905088</v>
      </c>
      <c r="Y49" s="8">
        <v>16.788596419918509</v>
      </c>
      <c r="Z49" s="8">
        <f t="shared" si="0"/>
        <v>8.2107369134148165</v>
      </c>
      <c r="AA49" s="7">
        <v>11.075566734616814</v>
      </c>
      <c r="AB49" s="7">
        <v>5.713029685301696</v>
      </c>
      <c r="AC49" s="5">
        <v>2.0630000000000024</v>
      </c>
      <c r="AD49" s="4">
        <v>37.417999999999999</v>
      </c>
      <c r="AE49" s="5">
        <v>1.1290000000000013</v>
      </c>
      <c r="AF49" s="4">
        <v>24.716000000000001</v>
      </c>
      <c r="AG49" s="4">
        <v>62.134</v>
      </c>
      <c r="AH49" s="5">
        <v>3.1920000000000002</v>
      </c>
      <c r="AI49" s="9">
        <v>3.0206091094409526</v>
      </c>
      <c r="AJ49" s="9">
        <v>0.17139089055905132</v>
      </c>
      <c r="AK49" s="10">
        <v>16.788596419918534</v>
      </c>
      <c r="AL49" s="8">
        <f t="shared" si="2"/>
        <v>8.2107369134147987</v>
      </c>
      <c r="AM49" s="9">
        <v>11.075566734616825</v>
      </c>
      <c r="AN49" s="9">
        <v>5.7130296853017102</v>
      </c>
    </row>
    <row r="50" spans="1:40" x14ac:dyDescent="0.35">
      <c r="A50" s="3">
        <v>1952</v>
      </c>
      <c r="B50" s="3">
        <v>64.671000000000006</v>
      </c>
      <c r="C50" s="3">
        <v>51.944000000000003</v>
      </c>
      <c r="D50">
        <v>12.727</v>
      </c>
      <c r="E50" s="3">
        <v>64.671000000000006</v>
      </c>
      <c r="F50">
        <v>51.944000000000003</v>
      </c>
      <c r="G50">
        <v>12.727</v>
      </c>
      <c r="H50" s="3">
        <v>0</v>
      </c>
      <c r="I50" s="3">
        <v>6.2110000000000003</v>
      </c>
      <c r="J50" s="11">
        <v>22.773666666666667</v>
      </c>
      <c r="K50" s="3">
        <v>0</v>
      </c>
      <c r="L50" s="3">
        <v>0.61499999999999999</v>
      </c>
      <c r="M50" s="3">
        <v>129.86500000000001</v>
      </c>
      <c r="N50">
        <v>6.2099999999999937</v>
      </c>
      <c r="O50" s="7">
        <v>22.769999999999975</v>
      </c>
      <c r="P50" s="3">
        <v>65.194000000000003</v>
      </c>
      <c r="Q50" s="3">
        <v>1.8789999999999978</v>
      </c>
      <c r="R50">
        <v>39.296999999999997</v>
      </c>
      <c r="S50" s="3">
        <v>1.1829999999999998</v>
      </c>
      <c r="T50" s="3">
        <v>25.896999999999998</v>
      </c>
      <c r="U50" s="3">
        <v>65.193999999999988</v>
      </c>
      <c r="V50" s="7">
        <v>3.0619999999999976</v>
      </c>
      <c r="W50" s="7">
        <v>2.8854870672468169</v>
      </c>
      <c r="X50" s="7">
        <v>0.1765129327531807</v>
      </c>
      <c r="Y50" s="8">
        <v>16.463883671677685</v>
      </c>
      <c r="Z50" s="8">
        <f t="shared" si="0"/>
        <v>6.3061163283222896</v>
      </c>
      <c r="AA50" s="7">
        <v>10.580119246571662</v>
      </c>
      <c r="AB50" s="7">
        <v>5.8837644251060226</v>
      </c>
      <c r="AC50" s="5">
        <v>1.8789999999999978</v>
      </c>
      <c r="AD50" s="4">
        <v>39.296999999999997</v>
      </c>
      <c r="AE50" s="5">
        <v>1.1829999999999998</v>
      </c>
      <c r="AF50" s="4">
        <v>25.899000000000001</v>
      </c>
      <c r="AG50" s="4">
        <v>65.195999999999998</v>
      </c>
      <c r="AH50" s="5">
        <v>3.0619999999999976</v>
      </c>
      <c r="AI50" s="9">
        <v>2.8854870672468169</v>
      </c>
      <c r="AJ50" s="9">
        <v>0.1765129327531807</v>
      </c>
      <c r="AK50" s="10">
        <v>16.463883671677685</v>
      </c>
      <c r="AL50" s="8">
        <f t="shared" si="2"/>
        <v>6.3097829949889821</v>
      </c>
      <c r="AM50" s="9">
        <v>10.580119246571662</v>
      </c>
      <c r="AN50" s="9">
        <v>5.8837644251060226</v>
      </c>
    </row>
    <row r="51" spans="1:40" x14ac:dyDescent="0.35">
      <c r="A51" s="3">
        <v>1953</v>
      </c>
      <c r="B51" s="3">
        <v>68.55</v>
      </c>
      <c r="C51" s="3">
        <v>55.149000000000001</v>
      </c>
      <c r="D51">
        <v>13.401</v>
      </c>
      <c r="E51" s="3">
        <v>68.55</v>
      </c>
      <c r="F51">
        <v>55.149000000000001</v>
      </c>
      <c r="G51">
        <v>13.401</v>
      </c>
      <c r="H51" s="3">
        <v>0</v>
      </c>
      <c r="I51" s="3">
        <v>7.3570000000000002</v>
      </c>
      <c r="J51" s="11">
        <v>26.975666666666665</v>
      </c>
      <c r="K51" s="3">
        <v>0</v>
      </c>
      <c r="L51" s="3">
        <v>0.67500000000000004</v>
      </c>
      <c r="M51" s="3">
        <v>137.221</v>
      </c>
      <c r="N51">
        <v>7.3569999999999993</v>
      </c>
      <c r="O51" s="7">
        <v>26.975666666666662</v>
      </c>
      <c r="P51" s="3">
        <v>68.671000000000006</v>
      </c>
      <c r="Q51" s="3">
        <v>2.2260000000000062</v>
      </c>
      <c r="R51">
        <v>41.523000000000003</v>
      </c>
      <c r="S51" s="3">
        <v>1.2510000000000012</v>
      </c>
      <c r="T51" s="3">
        <v>27.148</v>
      </c>
      <c r="U51" s="3">
        <v>68.671000000000006</v>
      </c>
      <c r="V51" s="7">
        <v>3.4770000000000074</v>
      </c>
      <c r="W51" s="7">
        <v>3.2877406087209446</v>
      </c>
      <c r="X51" s="7">
        <v>0.18925939127906277</v>
      </c>
      <c r="Y51" s="8">
        <v>18.363695274612223</v>
      </c>
      <c r="Z51" s="8">
        <f t="shared" si="0"/>
        <v>8.6119713920544392</v>
      </c>
      <c r="AA51" s="7">
        <v>12.055048898643463</v>
      </c>
      <c r="AB51" s="7">
        <v>6.3086463759687588</v>
      </c>
      <c r="AC51" s="5">
        <v>2.2260000000000062</v>
      </c>
      <c r="AD51" s="4">
        <v>41.523000000000003</v>
      </c>
      <c r="AE51" s="5">
        <v>1.2519999999999989</v>
      </c>
      <c r="AF51" s="4">
        <v>27.151</v>
      </c>
      <c r="AG51" s="4">
        <v>68.674000000000007</v>
      </c>
      <c r="AH51" s="5">
        <v>3.4780000000000086</v>
      </c>
      <c r="AI51" s="9">
        <v>3.2886086824166187</v>
      </c>
      <c r="AJ51" s="9">
        <v>0.18939131758338634</v>
      </c>
      <c r="AK51" s="10">
        <v>18.371275754973812</v>
      </c>
      <c r="AL51" s="8">
        <f t="shared" si="2"/>
        <v>8.6043909116928532</v>
      </c>
      <c r="AM51" s="9">
        <v>12.058231835527602</v>
      </c>
      <c r="AN51" s="9">
        <v>6.3130439194462111</v>
      </c>
    </row>
    <row r="52" spans="1:40" x14ac:dyDescent="0.35">
      <c r="A52" s="3">
        <v>1954</v>
      </c>
      <c r="B52" s="3">
        <v>72.031999999999996</v>
      </c>
      <c r="C52" s="3">
        <v>57.919999999999995</v>
      </c>
      <c r="D52">
        <v>14.112</v>
      </c>
      <c r="E52" s="3">
        <v>72.031999999999996</v>
      </c>
      <c r="F52">
        <v>57.92</v>
      </c>
      <c r="G52">
        <v>14.112</v>
      </c>
      <c r="H52" s="3">
        <v>0</v>
      </c>
      <c r="I52" s="3">
        <v>6.8780000000000001</v>
      </c>
      <c r="J52" s="11">
        <v>25.219333333333331</v>
      </c>
      <c r="K52" s="3">
        <v>0</v>
      </c>
      <c r="L52" s="3">
        <v>0.71199999999999997</v>
      </c>
      <c r="M52" s="3">
        <v>144.09800000000001</v>
      </c>
      <c r="N52">
        <v>6.8780000000000143</v>
      </c>
      <c r="O52" s="7">
        <v>25.219333333333385</v>
      </c>
      <c r="P52" s="3">
        <v>72.066000000000003</v>
      </c>
      <c r="Q52" s="3">
        <v>2.0819999999999936</v>
      </c>
      <c r="R52">
        <v>43.604999999999997</v>
      </c>
      <c r="S52" s="3">
        <v>1.3129999999999988</v>
      </c>
      <c r="T52" s="3">
        <v>28.460999999999999</v>
      </c>
      <c r="U52" s="3">
        <v>72.066000000000003</v>
      </c>
      <c r="V52" s="7">
        <v>3.3949999999999925</v>
      </c>
      <c r="W52" s="7">
        <v>3.1991279434314768</v>
      </c>
      <c r="X52" s="7">
        <v>0.19587205656851547</v>
      </c>
      <c r="Y52" s="8">
        <v>18.259204344865932</v>
      </c>
      <c r="Z52" s="8">
        <f t="shared" si="0"/>
        <v>6.9601289884674529</v>
      </c>
      <c r="AA52" s="7">
        <v>11.730135792582082</v>
      </c>
      <c r="AB52" s="7">
        <v>6.5290685522838494</v>
      </c>
      <c r="AC52" s="5">
        <v>2.0819999999999936</v>
      </c>
      <c r="AD52" s="4">
        <v>43.604999999999997</v>
      </c>
      <c r="AE52" s="5">
        <v>1.3140000000000001</v>
      </c>
      <c r="AF52" s="4">
        <v>28.465</v>
      </c>
      <c r="AG52" s="4">
        <v>72.069999999999993</v>
      </c>
      <c r="AH52" s="5">
        <v>3.3959999999999866</v>
      </c>
      <c r="AI52" s="9">
        <v>3.199996017127154</v>
      </c>
      <c r="AJ52" s="9">
        <v>0.19600398287283971</v>
      </c>
      <c r="AK52" s="10">
        <v>18.266784825227553</v>
      </c>
      <c r="AL52" s="8">
        <f t="shared" si="2"/>
        <v>6.9525485081057781</v>
      </c>
      <c r="AM52" s="9">
        <v>11.73331872946623</v>
      </c>
      <c r="AN52" s="9">
        <v>6.533466095761324</v>
      </c>
    </row>
    <row r="53" spans="1:40" x14ac:dyDescent="0.35">
      <c r="A53" s="3">
        <v>1955</v>
      </c>
      <c r="B53" s="3">
        <v>75.805000000000007</v>
      </c>
      <c r="C53" s="3">
        <v>60.944000000000003</v>
      </c>
      <c r="D53">
        <v>14.861000000000001</v>
      </c>
      <c r="E53" s="3">
        <v>75.805000000000007</v>
      </c>
      <c r="F53">
        <v>60.944000000000003</v>
      </c>
      <c r="G53">
        <v>14.861000000000001</v>
      </c>
      <c r="H53" s="3">
        <v>0</v>
      </c>
      <c r="I53" s="3">
        <v>7.3869999999999996</v>
      </c>
      <c r="J53" s="11">
        <v>27.085666666666665</v>
      </c>
      <c r="K53" s="3">
        <v>0</v>
      </c>
      <c r="L53" s="3">
        <v>0.75</v>
      </c>
      <c r="M53" s="3">
        <v>151.48500000000001</v>
      </c>
      <c r="N53">
        <v>7.3870000000000005</v>
      </c>
      <c r="O53" s="7">
        <v>27.085666666666668</v>
      </c>
      <c r="P53" s="3">
        <v>75.680000000000007</v>
      </c>
      <c r="Q53" s="3">
        <v>2.2350000000000065</v>
      </c>
      <c r="R53">
        <v>45.84</v>
      </c>
      <c r="S53" s="3">
        <v>1.3790000000000013</v>
      </c>
      <c r="T53" s="3">
        <v>29.84</v>
      </c>
      <c r="U53" s="3">
        <v>75.680000000000007</v>
      </c>
      <c r="V53" s="7">
        <v>3.6140000000000079</v>
      </c>
      <c r="W53" s="7">
        <v>3.4077561189188077</v>
      </c>
      <c r="X53" s="7">
        <v>0.20624388108120018</v>
      </c>
      <c r="Y53" s="8">
        <v>19.369901805408965</v>
      </c>
      <c r="Z53" s="8">
        <f t="shared" si="0"/>
        <v>7.7157648612577034</v>
      </c>
      <c r="AA53" s="7">
        <v>12.49510576936896</v>
      </c>
      <c r="AB53" s="7">
        <v>6.8747960360400056</v>
      </c>
      <c r="AC53" s="5">
        <v>2.2350000000000065</v>
      </c>
      <c r="AD53" s="4">
        <v>45.84</v>
      </c>
      <c r="AE53" s="5">
        <v>1.379999999999999</v>
      </c>
      <c r="AF53" s="4">
        <v>29.844999999999999</v>
      </c>
      <c r="AG53" s="4">
        <v>75.685000000000002</v>
      </c>
      <c r="AH53" s="5">
        <v>3.6150000000000091</v>
      </c>
      <c r="AI53" s="9">
        <v>3.4086241926144818</v>
      </c>
      <c r="AJ53" s="9">
        <v>0.20637580738552375</v>
      </c>
      <c r="AK53" s="10">
        <v>19.377482285770558</v>
      </c>
      <c r="AL53" s="8">
        <f t="shared" si="2"/>
        <v>7.7081843808961068</v>
      </c>
      <c r="AM53" s="9">
        <v>12.498288706253099</v>
      </c>
      <c r="AN53" s="9">
        <v>6.8791935795174579</v>
      </c>
    </row>
    <row r="54" spans="1:40" x14ac:dyDescent="0.35">
      <c r="A54" s="3">
        <v>1956</v>
      </c>
      <c r="B54" s="3">
        <v>79.382999999999996</v>
      </c>
      <c r="C54" s="3">
        <v>63.748999999999995</v>
      </c>
      <c r="D54">
        <v>15.634</v>
      </c>
      <c r="E54" s="3">
        <v>79.382999999999996</v>
      </c>
      <c r="F54">
        <v>63.749000000000002</v>
      </c>
      <c r="G54">
        <v>15.634</v>
      </c>
      <c r="H54" s="3">
        <v>0</v>
      </c>
      <c r="I54" s="3">
        <v>7.2</v>
      </c>
      <c r="J54" s="11">
        <v>26.4</v>
      </c>
      <c r="K54" s="3">
        <v>0</v>
      </c>
      <c r="L54" s="3">
        <v>0.77400000000000002</v>
      </c>
      <c r="M54" s="3">
        <v>158.684</v>
      </c>
      <c r="N54">
        <v>7.1999999999999886</v>
      </c>
      <c r="O54" s="7">
        <v>26.399999999999956</v>
      </c>
      <c r="P54" s="3">
        <v>79.301000000000002</v>
      </c>
      <c r="Q54" s="3">
        <v>2.1789999999999949</v>
      </c>
      <c r="R54">
        <v>48.018999999999998</v>
      </c>
      <c r="S54" s="3">
        <v>1.4420000000000002</v>
      </c>
      <c r="T54" s="3">
        <v>31.282</v>
      </c>
      <c r="U54" s="3">
        <v>79.301000000000002</v>
      </c>
      <c r="V54" s="7">
        <v>3.6209999999999951</v>
      </c>
      <c r="W54" s="7">
        <v>3.4070540594714078</v>
      </c>
      <c r="X54" s="7">
        <v>0.21394594052858729</v>
      </c>
      <c r="Y54" s="8">
        <v>19.624062902348069</v>
      </c>
      <c r="Z54" s="8">
        <f t="shared" si="0"/>
        <v>6.7759370976518873</v>
      </c>
      <c r="AA54" s="7">
        <v>12.49253155139516</v>
      </c>
      <c r="AB54" s="7">
        <v>7.1315313509529092</v>
      </c>
      <c r="AC54" s="5">
        <v>2.1789999999999949</v>
      </c>
      <c r="AD54" s="4">
        <v>48.018999999999998</v>
      </c>
      <c r="AE54" s="5">
        <v>1.4420000000000002</v>
      </c>
      <c r="AF54" s="4">
        <v>31.286999999999999</v>
      </c>
      <c r="AG54" s="4">
        <v>79.305999999999997</v>
      </c>
      <c r="AH54" s="5">
        <v>3.6209999999999951</v>
      </c>
      <c r="AI54" s="9">
        <v>3.4070540594714078</v>
      </c>
      <c r="AJ54" s="9">
        <v>0.21394594052858729</v>
      </c>
      <c r="AK54" s="10">
        <v>19.624062902348069</v>
      </c>
      <c r="AL54" s="8">
        <f t="shared" si="2"/>
        <v>6.77593709765193</v>
      </c>
      <c r="AM54" s="9">
        <v>12.49253155139516</v>
      </c>
      <c r="AN54" s="9">
        <v>7.1315313509529092</v>
      </c>
    </row>
    <row r="55" spans="1:40" x14ac:dyDescent="0.35">
      <c r="A55" s="3">
        <v>1957</v>
      </c>
      <c r="B55" s="3">
        <v>82.465000000000003</v>
      </c>
      <c r="C55" s="3">
        <v>66.052999999999997</v>
      </c>
      <c r="D55">
        <v>16.411999999999999</v>
      </c>
      <c r="E55" s="3">
        <v>82.465000000000003</v>
      </c>
      <c r="F55">
        <v>66.052999999999997</v>
      </c>
      <c r="G55">
        <v>16.411999999999999</v>
      </c>
      <c r="H55" s="3">
        <v>0</v>
      </c>
      <c r="I55" s="3">
        <v>6.5670000000000002</v>
      </c>
      <c r="J55" s="11">
        <v>24.079000000000001</v>
      </c>
      <c r="K55" s="3">
        <v>0</v>
      </c>
      <c r="L55" s="3">
        <v>0.77800000000000002</v>
      </c>
      <c r="M55" s="3">
        <v>165.25</v>
      </c>
      <c r="N55">
        <v>6.5670000000000073</v>
      </c>
      <c r="O55" s="7">
        <v>24.079000000000025</v>
      </c>
      <c r="P55" s="3">
        <v>82.784999999999997</v>
      </c>
      <c r="Q55" s="3">
        <v>1.9870000000000019</v>
      </c>
      <c r="R55">
        <v>50.006</v>
      </c>
      <c r="S55" s="3">
        <v>1.4970000000000034</v>
      </c>
      <c r="T55" s="3">
        <v>32.779000000000003</v>
      </c>
      <c r="U55" s="3">
        <v>82.784999999999997</v>
      </c>
      <c r="V55" s="7">
        <v>3.4840000000000053</v>
      </c>
      <c r="W55" s="7">
        <v>3.2648871335051104</v>
      </c>
      <c r="X55" s="7">
        <v>0.21911286649489492</v>
      </c>
      <c r="Y55" s="8">
        <v>19.275015039348567</v>
      </c>
      <c r="Z55" s="8">
        <f t="shared" si="0"/>
        <v>4.8039849606514586</v>
      </c>
      <c r="AA55" s="7">
        <v>11.971252822852071</v>
      </c>
      <c r="AB55" s="7">
        <v>7.303762216496497</v>
      </c>
      <c r="AC55" s="5">
        <v>1.9870000000000019</v>
      </c>
      <c r="AD55" s="4">
        <v>50.006</v>
      </c>
      <c r="AE55" s="5">
        <v>1.4979999999999976</v>
      </c>
      <c r="AF55" s="4">
        <v>32.784999999999997</v>
      </c>
      <c r="AG55" s="4">
        <v>82.790999999999997</v>
      </c>
      <c r="AH55" s="5">
        <v>3.4849999999999994</v>
      </c>
      <c r="AI55" s="9">
        <v>3.2657552072007814</v>
      </c>
      <c r="AJ55" s="9">
        <v>0.21924479279921805</v>
      </c>
      <c r="AK55" s="10">
        <v>19.282595519710135</v>
      </c>
      <c r="AL55" s="8">
        <f t="shared" si="2"/>
        <v>4.7964044802898655</v>
      </c>
      <c r="AM55" s="9">
        <v>11.974435759736199</v>
      </c>
      <c r="AN55" s="9">
        <v>7.3081597599739343</v>
      </c>
    </row>
    <row r="56" spans="1:40" x14ac:dyDescent="0.35">
      <c r="A56" s="3">
        <v>1958</v>
      </c>
      <c r="B56" s="3">
        <v>85.768000000000001</v>
      </c>
      <c r="C56" s="3">
        <v>68.569000000000003</v>
      </c>
      <c r="D56">
        <v>17.199000000000002</v>
      </c>
      <c r="E56" s="3">
        <v>85.768000000000001</v>
      </c>
      <c r="F56">
        <v>68.569999999999993</v>
      </c>
      <c r="G56">
        <v>17.199000000000002</v>
      </c>
      <c r="H56" s="3">
        <v>0</v>
      </c>
      <c r="I56" s="3">
        <v>6.97</v>
      </c>
      <c r="J56" s="11">
        <v>25.556666666666665</v>
      </c>
      <c r="K56" s="3">
        <v>0</v>
      </c>
      <c r="L56" s="3">
        <v>0.78800000000000003</v>
      </c>
      <c r="M56" s="3">
        <v>172.21800000000002</v>
      </c>
      <c r="N56">
        <v>6.9699999999999989</v>
      </c>
      <c r="O56" s="7">
        <v>25.556666666666661</v>
      </c>
      <c r="P56" s="3">
        <v>86.45</v>
      </c>
      <c r="Q56" s="3">
        <v>2.1090000000000018</v>
      </c>
      <c r="R56">
        <v>52.115000000000002</v>
      </c>
      <c r="S56" s="3">
        <v>1.5559999999999974</v>
      </c>
      <c r="T56" s="3">
        <v>34.335000000000001</v>
      </c>
      <c r="U56" s="3">
        <v>86.45</v>
      </c>
      <c r="V56" s="7">
        <v>3.6649999999999991</v>
      </c>
      <c r="W56" s="7">
        <v>3.436776082934756</v>
      </c>
      <c r="X56" s="7">
        <v>0.22822391706524292</v>
      </c>
      <c r="Y56" s="8">
        <v>20.208976206268872</v>
      </c>
      <c r="Z56" s="8">
        <f t="shared" si="0"/>
        <v>5.3476904603977893</v>
      </c>
      <c r="AA56" s="7">
        <v>12.601512304094106</v>
      </c>
      <c r="AB56" s="7">
        <v>7.6074639021747643</v>
      </c>
      <c r="AC56" s="5">
        <v>2.1090000000000018</v>
      </c>
      <c r="AD56" s="4">
        <v>52.115000000000002</v>
      </c>
      <c r="AE56" s="5">
        <v>1.5580000000000069</v>
      </c>
      <c r="AF56" s="4">
        <v>34.343000000000004</v>
      </c>
      <c r="AG56" s="4">
        <v>86.457999999999998</v>
      </c>
      <c r="AH56" s="5">
        <v>3.6670000000000016</v>
      </c>
      <c r="AI56" s="9">
        <v>3.4385122303261162</v>
      </c>
      <c r="AJ56" s="9">
        <v>0.2284877696738925</v>
      </c>
      <c r="AK56" s="10">
        <v>20.224137166992175</v>
      </c>
      <c r="AL56" s="8">
        <f t="shared" si="2"/>
        <v>5.3325294996744894</v>
      </c>
      <c r="AM56" s="9">
        <v>12.607878177862425</v>
      </c>
      <c r="AN56" s="9">
        <v>7.6162589891297499</v>
      </c>
    </row>
    <row r="57" spans="1:40" x14ac:dyDescent="0.35">
      <c r="A57" s="3">
        <v>1959</v>
      </c>
      <c r="B57" s="3">
        <v>89.192999999999998</v>
      </c>
      <c r="C57" s="3">
        <v>71.195999999999998</v>
      </c>
      <c r="D57">
        <v>17.997</v>
      </c>
      <c r="E57" s="3">
        <v>89.192999999999998</v>
      </c>
      <c r="F57">
        <v>71.194999999999993</v>
      </c>
      <c r="G57">
        <v>17.997</v>
      </c>
      <c r="H57" s="3">
        <v>0</v>
      </c>
      <c r="I57" s="3">
        <v>7.2290000000000001</v>
      </c>
      <c r="J57" s="11">
        <v>26.506333333333334</v>
      </c>
      <c r="K57" s="3">
        <v>0</v>
      </c>
      <c r="L57" s="3">
        <v>0.8</v>
      </c>
      <c r="M57" s="3">
        <v>179.446</v>
      </c>
      <c r="N57">
        <v>7.2290000000000134</v>
      </c>
      <c r="O57" s="7">
        <v>26.50633333333338</v>
      </c>
      <c r="P57" s="3">
        <v>90.253</v>
      </c>
      <c r="Q57" s="3">
        <v>2.1869999999999976</v>
      </c>
      <c r="R57">
        <v>54.302</v>
      </c>
      <c r="S57" s="3">
        <v>1.6159999999999997</v>
      </c>
      <c r="T57" s="3">
        <v>35.951000000000001</v>
      </c>
      <c r="U57" s="3">
        <v>90.253</v>
      </c>
      <c r="V57" s="7">
        <v>3.8029999999999973</v>
      </c>
      <c r="W57" s="7">
        <v>3.5660118399868868</v>
      </c>
      <c r="X57" s="7">
        <v>0.23698816001311052</v>
      </c>
      <c r="Y57" s="8">
        <v>20.974982080388934</v>
      </c>
      <c r="Z57" s="8">
        <f t="shared" si="0"/>
        <v>5.5313512529444466</v>
      </c>
      <c r="AA57" s="7">
        <v>13.075376746618584</v>
      </c>
      <c r="AB57" s="7">
        <v>7.8996053337703502</v>
      </c>
      <c r="AC57" s="5">
        <v>2.1869999999999976</v>
      </c>
      <c r="AD57" s="4">
        <v>54.302</v>
      </c>
      <c r="AE57" s="5">
        <v>1.6169999999999973</v>
      </c>
      <c r="AF57" s="4">
        <v>35.96</v>
      </c>
      <c r="AG57" s="4">
        <v>90.262</v>
      </c>
      <c r="AH57" s="5">
        <v>3.804000000000002</v>
      </c>
      <c r="AI57" s="9">
        <v>3.5668799136825609</v>
      </c>
      <c r="AJ57" s="9">
        <v>0.23712008631743409</v>
      </c>
      <c r="AK57" s="10">
        <v>20.982562560750527</v>
      </c>
      <c r="AL57" s="8">
        <f t="shared" si="2"/>
        <v>5.5237707725828074</v>
      </c>
      <c r="AM57" s="9">
        <v>13.078559683502723</v>
      </c>
      <c r="AN57" s="9">
        <v>7.9040028772478026</v>
      </c>
    </row>
    <row r="58" spans="1:40" x14ac:dyDescent="0.35">
      <c r="A58" s="3">
        <v>1960</v>
      </c>
      <c r="B58" s="3">
        <v>91.903000000000006</v>
      </c>
      <c r="C58" s="3">
        <v>73.353000000000009</v>
      </c>
      <c r="D58">
        <v>18.55</v>
      </c>
      <c r="E58" s="3">
        <v>91.903000000000006</v>
      </c>
      <c r="F58">
        <v>73.352999999999994</v>
      </c>
      <c r="G58">
        <v>18.55</v>
      </c>
      <c r="H58" s="3">
        <v>0</v>
      </c>
      <c r="I58" s="3">
        <v>6.3090000000000002</v>
      </c>
      <c r="J58" s="11">
        <v>23.132999999999999</v>
      </c>
      <c r="K58" s="3">
        <v>0</v>
      </c>
      <c r="L58" s="3">
        <v>0.55400000000000005</v>
      </c>
      <c r="M58" s="3">
        <v>185.75300000000001</v>
      </c>
      <c r="N58">
        <v>6.3089999999999975</v>
      </c>
      <c r="O58" s="7">
        <v>23.132999999999988</v>
      </c>
      <c r="P58" s="3">
        <v>93.85</v>
      </c>
      <c r="Q58" s="3">
        <v>1.9089999999999989</v>
      </c>
      <c r="R58">
        <v>56.210999999999999</v>
      </c>
      <c r="S58" s="3">
        <v>1.6880000000000024</v>
      </c>
      <c r="T58" s="3">
        <v>37.639000000000003</v>
      </c>
      <c r="U58" s="3">
        <v>93.85</v>
      </c>
      <c r="V58" s="7">
        <v>3.5970000000000013</v>
      </c>
      <c r="W58" s="7">
        <v>3.3564568116021638</v>
      </c>
      <c r="X58" s="7">
        <v>0.2405431883978375</v>
      </c>
      <c r="Y58" s="8">
        <v>20.32511458913585</v>
      </c>
      <c r="Z58" s="8">
        <f t="shared" si="0"/>
        <v>2.807885410864138</v>
      </c>
      <c r="AA58" s="7">
        <v>12.307008309207934</v>
      </c>
      <c r="AB58" s="7">
        <v>8.0181062799279168</v>
      </c>
      <c r="AC58" s="5">
        <v>1.9089999999999989</v>
      </c>
      <c r="AD58" s="4">
        <v>56.210999999999999</v>
      </c>
      <c r="AE58" s="5">
        <v>1.6890000000000001</v>
      </c>
      <c r="AF58" s="4">
        <v>37.649000000000001</v>
      </c>
      <c r="AG58" s="4">
        <v>93.86</v>
      </c>
      <c r="AH58" s="5">
        <v>3.597999999999999</v>
      </c>
      <c r="AI58" s="9">
        <v>3.3573266145262348</v>
      </c>
      <c r="AJ58" s="9">
        <v>0.24067338547376393</v>
      </c>
      <c r="AK58" s="10">
        <v>20.332643769054993</v>
      </c>
      <c r="AL58" s="8">
        <f t="shared" si="2"/>
        <v>2.8003562309450061</v>
      </c>
      <c r="AM58" s="9">
        <v>12.310197586596196</v>
      </c>
      <c r="AN58" s="9">
        <v>8.0224461824587969</v>
      </c>
    </row>
    <row r="59" spans="1:40" x14ac:dyDescent="0.35">
      <c r="A59" s="3">
        <v>1961</v>
      </c>
      <c r="B59" s="3">
        <v>94.712999999999994</v>
      </c>
      <c r="C59" s="3">
        <v>75.600999999999999</v>
      </c>
      <c r="D59">
        <v>19.111999999999998</v>
      </c>
      <c r="E59" s="3">
        <v>94.712999999999994</v>
      </c>
      <c r="F59">
        <v>75.602000000000004</v>
      </c>
      <c r="G59">
        <v>19.111999999999998</v>
      </c>
      <c r="H59" s="3">
        <v>0</v>
      </c>
      <c r="I59" s="3">
        <v>6.5609999999999999</v>
      </c>
      <c r="J59" s="11">
        <v>24.056999999999999</v>
      </c>
      <c r="K59" s="3">
        <v>0</v>
      </c>
      <c r="L59" s="3">
        <v>0.56299999999999994</v>
      </c>
      <c r="M59" s="3">
        <v>192.31399999999999</v>
      </c>
      <c r="N59">
        <v>6.5609999999999786</v>
      </c>
      <c r="O59" s="7">
        <v>24.05699999999992</v>
      </c>
      <c r="P59" s="3">
        <v>97.600999999999999</v>
      </c>
      <c r="Q59" s="3">
        <v>1.9860000000000042</v>
      </c>
      <c r="R59">
        <v>58.197000000000003</v>
      </c>
      <c r="S59" s="3">
        <v>1.7650000000000006</v>
      </c>
      <c r="T59" s="3">
        <v>39.404000000000003</v>
      </c>
      <c r="U59" s="3">
        <v>97.600999999999999</v>
      </c>
      <c r="V59" s="7">
        <v>3.7510000000000048</v>
      </c>
      <c r="W59" s="7">
        <v>3.4995938523838963</v>
      </c>
      <c r="X59" s="7">
        <v>0.25140614761610847</v>
      </c>
      <c r="Y59" s="8">
        <v>21.212049045944568</v>
      </c>
      <c r="Z59" s="8">
        <f t="shared" si="0"/>
        <v>2.8449509540553528</v>
      </c>
      <c r="AA59" s="7">
        <v>12.831844125407619</v>
      </c>
      <c r="AB59" s="7">
        <v>8.3802049205369489</v>
      </c>
      <c r="AC59" s="5">
        <v>1.9860000000000042</v>
      </c>
      <c r="AD59" s="4">
        <v>58.197000000000003</v>
      </c>
      <c r="AE59" s="5">
        <v>1.7659999999999982</v>
      </c>
      <c r="AF59" s="4">
        <v>39.414999999999999</v>
      </c>
      <c r="AG59" s="4">
        <v>97.611999999999995</v>
      </c>
      <c r="AH59" s="5">
        <v>3.7519999999999953</v>
      </c>
      <c r="AI59" s="9">
        <v>3.5004636553079678</v>
      </c>
      <c r="AJ59" s="9">
        <v>0.2515363446920349</v>
      </c>
      <c r="AK59" s="10">
        <v>21.219578225863707</v>
      </c>
      <c r="AL59" s="8">
        <f t="shared" si="2"/>
        <v>2.8374217741362919</v>
      </c>
      <c r="AM59" s="9">
        <v>12.835033402795879</v>
      </c>
      <c r="AN59" s="9">
        <v>8.384544823067829</v>
      </c>
    </row>
    <row r="60" spans="1:40" x14ac:dyDescent="0.35">
      <c r="A60" s="3">
        <v>1962</v>
      </c>
      <c r="B60" s="3">
        <v>97.625</v>
      </c>
      <c r="C60" s="3">
        <v>77.94</v>
      </c>
      <c r="D60">
        <v>19.684999999999999</v>
      </c>
      <c r="E60" s="3">
        <v>97.625</v>
      </c>
      <c r="F60">
        <v>77.938999999999993</v>
      </c>
      <c r="G60">
        <v>19.684999999999999</v>
      </c>
      <c r="H60" s="3">
        <v>0</v>
      </c>
      <c r="I60" s="3">
        <v>6.8029999999999999</v>
      </c>
      <c r="J60" s="11">
        <v>24.944333333333333</v>
      </c>
      <c r="K60" s="3">
        <v>0</v>
      </c>
      <c r="L60" s="3">
        <v>0.57499999999999996</v>
      </c>
      <c r="M60" s="3">
        <v>199.11500000000001</v>
      </c>
      <c r="N60">
        <v>6.8020000000000209</v>
      </c>
      <c r="O60" s="7">
        <v>24.940666666666743</v>
      </c>
      <c r="P60" s="3">
        <v>101.49</v>
      </c>
      <c r="Q60" s="3">
        <v>2.0579999999999998</v>
      </c>
      <c r="R60">
        <v>60.255000000000003</v>
      </c>
      <c r="S60" s="3">
        <v>1.830999999999996</v>
      </c>
      <c r="T60" s="3">
        <v>41.234999999999999</v>
      </c>
      <c r="U60" s="3">
        <v>101.49000000000001</v>
      </c>
      <c r="V60" s="7">
        <v>3.8889999999999958</v>
      </c>
      <c r="W60" s="7">
        <v>3.6282174625834029</v>
      </c>
      <c r="X60" s="7">
        <v>0.26078253741659307</v>
      </c>
      <c r="Y60" s="8">
        <v>21.996215276692247</v>
      </c>
      <c r="Z60" s="8">
        <f t="shared" si="0"/>
        <v>2.9444513899744962</v>
      </c>
      <c r="AA60" s="7">
        <v>13.303464029472476</v>
      </c>
      <c r="AB60" s="7">
        <v>8.6927512472197694</v>
      </c>
      <c r="AC60" s="5">
        <v>2.0579999999999998</v>
      </c>
      <c r="AD60" s="4">
        <v>60.255000000000003</v>
      </c>
      <c r="AE60" s="5">
        <v>1.8329999999999984</v>
      </c>
      <c r="AF60" s="4">
        <v>41.247999999999998</v>
      </c>
      <c r="AG60" s="4">
        <v>101.503</v>
      </c>
      <c r="AH60" s="5">
        <v>3.8910000000000053</v>
      </c>
      <c r="AI60" s="9">
        <v>3.6299570684315512</v>
      </c>
      <c r="AJ60" s="9">
        <v>0.26104293156844705</v>
      </c>
      <c r="AK60" s="10">
        <v>22.011273636530589</v>
      </c>
      <c r="AL60" s="8">
        <f t="shared" si="2"/>
        <v>2.9330596968027436</v>
      </c>
      <c r="AM60" s="9">
        <v>13.30984258424902</v>
      </c>
      <c r="AN60" s="9">
        <v>8.7014310522815688</v>
      </c>
    </row>
    <row r="61" spans="1:40" x14ac:dyDescent="0.35">
      <c r="A61" s="3">
        <v>1963</v>
      </c>
      <c r="B61" s="3">
        <v>100.41200000000001</v>
      </c>
      <c r="C61" s="3">
        <v>80.147000000000006</v>
      </c>
      <c r="D61">
        <v>20.265000000000001</v>
      </c>
      <c r="E61" s="3">
        <v>100.41200000000001</v>
      </c>
      <c r="F61">
        <v>80.147000000000006</v>
      </c>
      <c r="G61">
        <v>20.265000000000001</v>
      </c>
      <c r="H61" s="3">
        <v>0</v>
      </c>
      <c r="I61" s="3">
        <v>6.7069999999999999</v>
      </c>
      <c r="J61" s="11">
        <v>24.592333333333332</v>
      </c>
      <c r="K61" s="3">
        <v>0</v>
      </c>
      <c r="L61" s="3">
        <v>0.58099999999999996</v>
      </c>
      <c r="M61" s="3">
        <v>205.82</v>
      </c>
      <c r="N61">
        <v>6.7069999999999936</v>
      </c>
      <c r="O61" s="7">
        <v>24.592333333333308</v>
      </c>
      <c r="P61" s="3">
        <v>105.408</v>
      </c>
      <c r="Q61" s="3">
        <v>2.029999999999994</v>
      </c>
      <c r="R61">
        <v>62.284999999999997</v>
      </c>
      <c r="S61" s="3">
        <v>1.8879999999999981</v>
      </c>
      <c r="T61" s="3">
        <v>43.122999999999998</v>
      </c>
      <c r="U61" s="3">
        <v>105.40799999999999</v>
      </c>
      <c r="V61" s="7">
        <v>3.9179999999999922</v>
      </c>
      <c r="W61" s="7">
        <v>3.650100878118085</v>
      </c>
      <c r="X61" s="7">
        <v>0.26789912188190712</v>
      </c>
      <c r="Y61" s="8">
        <v>22.313673949163213</v>
      </c>
      <c r="Z61" s="8">
        <f t="shared" si="0"/>
        <v>2.2786593841700942</v>
      </c>
      <c r="AA61" s="7">
        <v>13.383703219766311</v>
      </c>
      <c r="AB61" s="7">
        <v>8.9299707293969028</v>
      </c>
      <c r="AC61" s="5">
        <v>2.029999999999994</v>
      </c>
      <c r="AD61" s="4">
        <v>62.284999999999997</v>
      </c>
      <c r="AE61" s="5">
        <v>1.8900000000000006</v>
      </c>
      <c r="AF61" s="4">
        <v>43.137999999999998</v>
      </c>
      <c r="AG61" s="4">
        <v>105.423</v>
      </c>
      <c r="AH61" s="5">
        <v>3.9200000000000017</v>
      </c>
      <c r="AI61" s="9">
        <v>3.6518404839662333</v>
      </c>
      <c r="AJ61" s="9">
        <v>0.26815951603376131</v>
      </c>
      <c r="AK61" s="10">
        <v>22.328732309001563</v>
      </c>
      <c r="AL61" s="8">
        <f t="shared" si="2"/>
        <v>2.2636010243317699</v>
      </c>
      <c r="AM61" s="9">
        <v>13.390081774542853</v>
      </c>
      <c r="AN61" s="9">
        <v>8.9386505344587093</v>
      </c>
    </row>
    <row r="62" spans="1:40" x14ac:dyDescent="0.35">
      <c r="A62" s="3">
        <v>1964</v>
      </c>
      <c r="B62" s="3">
        <v>103.16200000000001</v>
      </c>
      <c r="C62" s="3">
        <v>82.313000000000002</v>
      </c>
      <c r="D62">
        <v>20.849</v>
      </c>
      <c r="E62" s="3">
        <v>103.16200000000001</v>
      </c>
      <c r="F62">
        <v>82.313000000000002</v>
      </c>
      <c r="G62">
        <v>20.849</v>
      </c>
      <c r="H62" s="3">
        <v>0</v>
      </c>
      <c r="I62" s="3">
        <v>6.7249999999999996</v>
      </c>
      <c r="J62" s="11">
        <v>24.658333333333331</v>
      </c>
      <c r="K62" s="3">
        <v>0</v>
      </c>
      <c r="L62" s="3">
        <v>0.58599999999999997</v>
      </c>
      <c r="M62" s="3">
        <v>212.54399999999998</v>
      </c>
      <c r="N62">
        <v>6.7259999999999991</v>
      </c>
      <c r="O62" s="7">
        <v>24.661999999999995</v>
      </c>
      <c r="P62" s="3">
        <v>109.38200000000001</v>
      </c>
      <c r="Q62" s="3">
        <v>2.0349999999999966</v>
      </c>
      <c r="R62">
        <v>64.319999999999993</v>
      </c>
      <c r="S62" s="3">
        <v>1.9390000000000001</v>
      </c>
      <c r="T62" s="3">
        <v>45.061999999999998</v>
      </c>
      <c r="U62" s="3">
        <v>109.38199999999999</v>
      </c>
      <c r="V62" s="7">
        <v>3.9739999999999966</v>
      </c>
      <c r="W62" s="7">
        <v>3.6994064256632315</v>
      </c>
      <c r="X62" s="7">
        <v>0.2745935743367649</v>
      </c>
      <c r="Y62" s="8">
        <v>22.717609371990676</v>
      </c>
      <c r="Z62" s="8">
        <f t="shared" si="0"/>
        <v>1.9443906280093195</v>
      </c>
      <c r="AA62" s="7">
        <v>13.564490227431849</v>
      </c>
      <c r="AB62" s="7">
        <v>9.1531191445588291</v>
      </c>
      <c r="AC62" s="5">
        <v>2.0349999999999966</v>
      </c>
      <c r="AD62" s="4">
        <v>64.319999999999993</v>
      </c>
      <c r="AE62" s="5">
        <v>1.9400000000000048</v>
      </c>
      <c r="AF62" s="4">
        <v>45.078000000000003</v>
      </c>
      <c r="AG62" s="4">
        <v>109.398</v>
      </c>
      <c r="AH62" s="5">
        <v>3.9749999999999943</v>
      </c>
      <c r="AI62" s="9">
        <v>3.7002762285873088</v>
      </c>
      <c r="AJ62" s="9">
        <v>0.27472377141269244</v>
      </c>
      <c r="AK62" s="10">
        <v>22.725138551909879</v>
      </c>
      <c r="AL62" s="8">
        <f t="shared" si="2"/>
        <v>1.9331947814234525</v>
      </c>
      <c r="AM62" s="9">
        <v>13.567679504820132</v>
      </c>
      <c r="AN62" s="9">
        <v>9.1574590470897483</v>
      </c>
    </row>
    <row r="63" spans="1:40" x14ac:dyDescent="0.35">
      <c r="A63" s="3">
        <v>1965</v>
      </c>
      <c r="B63" s="3">
        <v>113.328</v>
      </c>
      <c r="C63" s="3">
        <v>91.897000000000006</v>
      </c>
      <c r="D63">
        <v>21.431000000000001</v>
      </c>
      <c r="E63" s="3">
        <v>105.694</v>
      </c>
      <c r="F63">
        <v>84.263000000000005</v>
      </c>
      <c r="G63">
        <v>21.431000000000001</v>
      </c>
      <c r="H63" s="3">
        <v>7.6340000000000003</v>
      </c>
      <c r="I63" s="3">
        <v>6.4740000000000002</v>
      </c>
      <c r="J63" s="11">
        <v>23.738</v>
      </c>
      <c r="K63" s="3">
        <v>7.2579999999999991</v>
      </c>
      <c r="L63" s="3">
        <v>0.79600000000000004</v>
      </c>
      <c r="M63" s="3">
        <v>226.745</v>
      </c>
      <c r="N63">
        <v>13.731999999999999</v>
      </c>
      <c r="O63" s="7">
        <v>50.350666666666662</v>
      </c>
      <c r="P63" s="3">
        <v>112.964</v>
      </c>
      <c r="Q63" s="3">
        <v>1.9590000000000032</v>
      </c>
      <c r="R63">
        <v>66.278999999999996</v>
      </c>
      <c r="S63" s="3">
        <v>2.0760000000000005</v>
      </c>
      <c r="T63" s="3">
        <v>47.137999999999998</v>
      </c>
      <c r="U63" s="3">
        <v>113.417</v>
      </c>
      <c r="V63" s="7">
        <v>4.0350000000000037</v>
      </c>
      <c r="W63" s="7">
        <v>3.7433963303166604</v>
      </c>
      <c r="X63" s="7">
        <v>0.29160366968334328</v>
      </c>
      <c r="Y63" s="8">
        <v>23.445908867272529</v>
      </c>
      <c r="Z63" s="8">
        <f t="shared" si="0"/>
        <v>26.904757799394133</v>
      </c>
      <c r="AA63" s="7">
        <v>13.72578654449442</v>
      </c>
      <c r="AB63" s="7">
        <v>9.7201223227781099</v>
      </c>
      <c r="AC63" s="5">
        <v>1.9590000000000032</v>
      </c>
      <c r="AD63" s="4">
        <v>66.278999999999996</v>
      </c>
      <c r="AE63" s="5">
        <v>1.982999999999997</v>
      </c>
      <c r="AF63" s="4">
        <v>47.061</v>
      </c>
      <c r="AG63" s="4">
        <v>113.34</v>
      </c>
      <c r="AH63" s="5">
        <v>3.9420000000000073</v>
      </c>
      <c r="AI63" s="9">
        <v>3.6625046583778484</v>
      </c>
      <c r="AJ63" s="9">
        <v>0.27949534162215195</v>
      </c>
      <c r="AK63" s="10">
        <v>22.745695134790509</v>
      </c>
      <c r="AL63" s="8">
        <f t="shared" si="2"/>
        <v>0.99230486520949057</v>
      </c>
      <c r="AM63" s="9">
        <v>13.429183747385443</v>
      </c>
      <c r="AN63" s="9">
        <v>9.3165113874050647</v>
      </c>
    </row>
    <row r="64" spans="1:40" x14ac:dyDescent="0.35">
      <c r="A64" s="3">
        <v>1966</v>
      </c>
      <c r="B64" s="3">
        <v>123.34399999999999</v>
      </c>
      <c r="C64" s="3">
        <v>101.342</v>
      </c>
      <c r="D64">
        <v>22.001999999999999</v>
      </c>
      <c r="E64" s="3">
        <v>107.96599999999999</v>
      </c>
      <c r="F64">
        <v>85.963999999999999</v>
      </c>
      <c r="G64">
        <v>22.001999999999999</v>
      </c>
      <c r="H64" s="3">
        <v>15.378</v>
      </c>
      <c r="I64" s="3">
        <v>6.1509999999999998</v>
      </c>
      <c r="J64" s="11">
        <v>22.553666666666665</v>
      </c>
      <c r="K64" s="3">
        <v>7.5669999999999895</v>
      </c>
      <c r="L64" s="3">
        <v>1.073</v>
      </c>
      <c r="M64" s="3">
        <v>240.90999999999997</v>
      </c>
      <c r="N64">
        <v>13.717999999999989</v>
      </c>
      <c r="O64" s="7">
        <v>50.299333333333294</v>
      </c>
      <c r="P64" s="3">
        <v>116.666</v>
      </c>
      <c r="Q64" s="3">
        <v>1.8610000000000042</v>
      </c>
      <c r="R64">
        <v>68.14</v>
      </c>
      <c r="S64" s="3">
        <v>2.2880000000000038</v>
      </c>
      <c r="T64" s="3">
        <v>49.426000000000002</v>
      </c>
      <c r="U64" s="3">
        <v>117.566</v>
      </c>
      <c r="V64" s="7">
        <v>4.149000000000008</v>
      </c>
      <c r="W64" s="7">
        <v>3.8308608212389803</v>
      </c>
      <c r="X64" s="7">
        <v>0.31813917876102771</v>
      </c>
      <c r="Y64" s="8">
        <v>24.651128969910516</v>
      </c>
      <c r="Z64" s="8">
        <f t="shared" si="0"/>
        <v>25.648204363422778</v>
      </c>
      <c r="AA64" s="7">
        <v>14.046489677876259</v>
      </c>
      <c r="AB64" s="7">
        <v>10.604639292034257</v>
      </c>
      <c r="AC64" s="5">
        <v>1.8610000000000042</v>
      </c>
      <c r="AD64" s="4">
        <v>68.14</v>
      </c>
      <c r="AE64" s="5">
        <v>2.0180000000000007</v>
      </c>
      <c r="AF64" s="4">
        <v>49.079000000000001</v>
      </c>
      <c r="AG64" s="4">
        <v>117.21899999999999</v>
      </c>
      <c r="AH64" s="5">
        <v>3.8789999999999907</v>
      </c>
      <c r="AI64" s="9">
        <v>3.596014031739208</v>
      </c>
      <c r="AJ64" s="9">
        <v>0.28298596826079669</v>
      </c>
      <c r="AK64" s="10">
        <v>22.618250391736986</v>
      </c>
      <c r="AL64" s="8">
        <f t="shared" si="2"/>
        <v>-6.4583725070320952E-2</v>
      </c>
      <c r="AM64" s="9">
        <v>13.185384783043762</v>
      </c>
      <c r="AN64" s="9">
        <v>9.4328656086932234</v>
      </c>
    </row>
    <row r="65" spans="1:40" x14ac:dyDescent="0.35">
      <c r="A65" s="3">
        <v>1967</v>
      </c>
      <c r="B65" s="3">
        <v>133.08099999999999</v>
      </c>
      <c r="C65" s="3">
        <v>110.934</v>
      </c>
      <c r="D65">
        <v>22.146999999999998</v>
      </c>
      <c r="E65" s="3">
        <v>110.251</v>
      </c>
      <c r="F65">
        <v>87.682000000000002</v>
      </c>
      <c r="G65">
        <v>22.568999999999999</v>
      </c>
      <c r="H65" s="3">
        <v>22.829999999999984</v>
      </c>
      <c r="I65" s="3">
        <v>6.2169999999999996</v>
      </c>
      <c r="J65" s="11">
        <v>22.795666666666666</v>
      </c>
      <c r="K65" s="3">
        <v>7.4140000000000006</v>
      </c>
      <c r="L65" s="3">
        <v>1.3129999999999999</v>
      </c>
      <c r="M65" s="3">
        <v>255.04799999999997</v>
      </c>
      <c r="N65">
        <v>13.631</v>
      </c>
      <c r="O65" s="7">
        <v>49.980333333333334</v>
      </c>
      <c r="P65" s="3">
        <v>120.56100000000001</v>
      </c>
      <c r="Q65" s="3">
        <v>1.8810000000000002</v>
      </c>
      <c r="R65">
        <v>70.021000000000001</v>
      </c>
      <c r="S65" s="3">
        <v>2.519999999999996</v>
      </c>
      <c r="T65" s="3">
        <v>51.945999999999998</v>
      </c>
      <c r="U65" s="3">
        <v>121.967</v>
      </c>
      <c r="V65" s="7">
        <v>4.4009999999999962</v>
      </c>
      <c r="W65" s="7">
        <v>4.0524374932935903</v>
      </c>
      <c r="X65" s="7">
        <v>0.34856250670640576</v>
      </c>
      <c r="Y65" s="8">
        <v>26.477687698956689</v>
      </c>
      <c r="Z65" s="8">
        <f t="shared" si="0"/>
        <v>23.502645634376645</v>
      </c>
      <c r="AA65" s="7">
        <v>14.858937475409832</v>
      </c>
      <c r="AB65" s="7">
        <v>11.618750223546858</v>
      </c>
      <c r="AC65" s="5">
        <v>1.8810000000000002</v>
      </c>
      <c r="AD65" s="4">
        <v>70.021000000000001</v>
      </c>
      <c r="AE65" s="5">
        <v>2.0499999999999972</v>
      </c>
      <c r="AF65" s="4">
        <v>51.128999999999998</v>
      </c>
      <c r="AG65" s="4">
        <v>121.15</v>
      </c>
      <c r="AH65" s="5">
        <v>3.9310000000000116</v>
      </c>
      <c r="AI65" s="9">
        <v>3.6436301189791784</v>
      </c>
      <c r="AJ65" s="9">
        <v>0.28736988102081917</v>
      </c>
      <c r="AK65" s="10">
        <v>22.93897313695096</v>
      </c>
      <c r="AL65" s="8">
        <f t="shared" si="2"/>
        <v>-0.14330647028429411</v>
      </c>
      <c r="AM65" s="9">
        <v>13.359977102923654</v>
      </c>
      <c r="AN65" s="9">
        <v>9.5789960340273055</v>
      </c>
    </row>
    <row r="66" spans="1:40" x14ac:dyDescent="0.35">
      <c r="A66" s="3">
        <v>1968</v>
      </c>
      <c r="B66" s="3">
        <v>143.45400000000001</v>
      </c>
      <c r="C66" s="3">
        <v>120.59800000000001</v>
      </c>
      <c r="D66">
        <v>22.856000000000002</v>
      </c>
      <c r="E66" s="3">
        <v>112.85299999999999</v>
      </c>
      <c r="F66">
        <v>89.71</v>
      </c>
      <c r="G66">
        <v>23.143000000000001</v>
      </c>
      <c r="H66" s="3">
        <v>30.601000000000013</v>
      </c>
      <c r="I66" s="3">
        <v>6.7210000000000001</v>
      </c>
      <c r="J66" s="11">
        <v>24.643666666666665</v>
      </c>
      <c r="K66" s="3">
        <v>7.8529999999999838</v>
      </c>
      <c r="L66" s="3">
        <v>1.5309999999999999</v>
      </c>
      <c r="M66" s="3">
        <v>270.226</v>
      </c>
      <c r="N66">
        <v>14.573999999999984</v>
      </c>
      <c r="O66" s="7">
        <v>53.437999999999938</v>
      </c>
      <c r="P66" s="3">
        <v>124.761</v>
      </c>
      <c r="Q66" s="3">
        <v>2.034000000000006</v>
      </c>
      <c r="R66">
        <v>72.055000000000007</v>
      </c>
      <c r="S66" s="3">
        <v>2.7710000000000008</v>
      </c>
      <c r="T66" s="3">
        <v>54.716999999999999</v>
      </c>
      <c r="U66" s="3">
        <v>126.77200000000001</v>
      </c>
      <c r="V66" s="7">
        <v>4.8050000000000068</v>
      </c>
      <c r="W66" s="7">
        <v>4.4220933388086792</v>
      </c>
      <c r="X66" s="7">
        <v>0.38290666119132766</v>
      </c>
      <c r="Y66" s="8">
        <v>28.977897615342744</v>
      </c>
      <c r="Z66" s="8">
        <f t="shared" si="0"/>
        <v>24.460102384657194</v>
      </c>
      <c r="AA66" s="7">
        <v>16.214342242298489</v>
      </c>
      <c r="AB66" s="7">
        <v>12.763555373044255</v>
      </c>
      <c r="AC66" s="5">
        <v>2.034000000000006</v>
      </c>
      <c r="AD66" s="4">
        <v>72.055000000000007</v>
      </c>
      <c r="AE66" s="5">
        <v>2.0850000000000009</v>
      </c>
      <c r="AF66" s="4">
        <v>53.213999999999999</v>
      </c>
      <c r="AG66" s="4">
        <v>125.26900000000001</v>
      </c>
      <c r="AH66" s="5">
        <v>4.1189999999999998</v>
      </c>
      <c r="AI66" s="9">
        <v>3.8254085328944503</v>
      </c>
      <c r="AJ66" s="9">
        <v>0.29359146710555661</v>
      </c>
      <c r="AK66" s="10">
        <v>23.812880190798204</v>
      </c>
      <c r="AL66" s="8">
        <f t="shared" si="2"/>
        <v>0.83078647586846088</v>
      </c>
      <c r="AM66" s="9">
        <v>14.026497953946318</v>
      </c>
      <c r="AN66" s="9">
        <v>9.7863822368518871</v>
      </c>
    </row>
    <row r="67" spans="1:40" x14ac:dyDescent="0.35">
      <c r="A67" s="3">
        <v>1969</v>
      </c>
      <c r="B67" s="3">
        <v>153.59</v>
      </c>
      <c r="C67" s="3">
        <v>129.99200000000002</v>
      </c>
      <c r="D67">
        <v>23.597999999999999</v>
      </c>
      <c r="E67" s="3">
        <v>115.38800000000001</v>
      </c>
      <c r="F67">
        <v>91.676000000000002</v>
      </c>
      <c r="G67">
        <v>23.712</v>
      </c>
      <c r="H67" s="3">
        <v>38.201999999999998</v>
      </c>
      <c r="I67" s="3">
        <v>6.1420000000000003</v>
      </c>
      <c r="J67" s="11">
        <v>22.520666666666667</v>
      </c>
      <c r="K67" s="3">
        <v>8.1630000000000074</v>
      </c>
      <c r="L67" s="3">
        <v>1.6859999999999999</v>
      </c>
      <c r="M67" s="3">
        <v>284.875</v>
      </c>
      <c r="N67">
        <v>14.305000000000007</v>
      </c>
      <c r="O67" s="7">
        <v>52.451666666666689</v>
      </c>
      <c r="P67" s="3">
        <v>128.93100000000001</v>
      </c>
      <c r="Q67" s="3">
        <v>1.4939999999999998</v>
      </c>
      <c r="R67">
        <v>73.549000000000007</v>
      </c>
      <c r="S67" s="3">
        <v>3.0189999999999984</v>
      </c>
      <c r="T67" s="3">
        <v>57.735999999999997</v>
      </c>
      <c r="U67" s="3">
        <v>131.285</v>
      </c>
      <c r="V67" s="7">
        <v>4.5129999999999981</v>
      </c>
      <c r="W67" s="7">
        <v>4.1036798348987098</v>
      </c>
      <c r="X67" s="7">
        <v>0.4093201651012881</v>
      </c>
      <c r="Y67" s="8">
        <v>28.690831564671541</v>
      </c>
      <c r="Z67" s="8">
        <f t="shared" ref="Z67:Z119" si="3">O67-Y67</f>
        <v>23.760835101995148</v>
      </c>
      <c r="AA67" s="7">
        <v>15.04682606129527</v>
      </c>
      <c r="AB67" s="7">
        <v>13.644005503376269</v>
      </c>
      <c r="AC67" s="5">
        <v>1.4939999999999998</v>
      </c>
      <c r="AD67" s="4">
        <v>73.549000000000007</v>
      </c>
      <c r="AE67" s="5">
        <v>2.1129999999999995</v>
      </c>
      <c r="AF67" s="4">
        <v>55.326999999999998</v>
      </c>
      <c r="AG67" s="4">
        <v>128.876</v>
      </c>
      <c r="AH67" s="5">
        <v>3.6069999999999993</v>
      </c>
      <c r="AI67" s="9">
        <v>3.3156383856883744</v>
      </c>
      <c r="AJ67" s="9">
        <v>0.29136161431162488</v>
      </c>
      <c r="AK67" s="10">
        <v>21.869394557911534</v>
      </c>
      <c r="AL67" s="8">
        <f t="shared" si="2"/>
        <v>0.65127210875513342</v>
      </c>
      <c r="AM67" s="9">
        <v>12.157340747524039</v>
      </c>
      <c r="AN67" s="9">
        <v>9.7120538103874967</v>
      </c>
    </row>
    <row r="68" spans="1:40" x14ac:dyDescent="0.35">
      <c r="A68" s="3">
        <v>1970</v>
      </c>
      <c r="B68" s="3">
        <v>164.02600000000001</v>
      </c>
      <c r="C68" s="3">
        <v>139.363</v>
      </c>
      <c r="D68">
        <v>24.663</v>
      </c>
      <c r="E68" s="3">
        <v>117.764</v>
      </c>
      <c r="F68">
        <v>93.191000000000003</v>
      </c>
      <c r="G68">
        <v>24.573</v>
      </c>
      <c r="H68" s="3">
        <v>46.262000000000015</v>
      </c>
      <c r="I68" s="3">
        <v>5.6079999999999997</v>
      </c>
      <c r="J68" s="11">
        <v>20.562666666666665</v>
      </c>
      <c r="K68" s="3">
        <v>8.6200000000000081</v>
      </c>
      <c r="L68" s="3">
        <v>2.4540000000000002</v>
      </c>
      <c r="M68" s="3">
        <v>299.42700000000002</v>
      </c>
      <c r="N68">
        <v>14.228000000000009</v>
      </c>
      <c r="O68" s="7">
        <v>52.169333333333363</v>
      </c>
      <c r="P68" s="3">
        <v>132.72200000000001</v>
      </c>
      <c r="Q68" s="3">
        <v>1.3639999999999901</v>
      </c>
      <c r="R68">
        <v>74.912999999999997</v>
      </c>
      <c r="S68" s="3">
        <v>2.7520000000000024</v>
      </c>
      <c r="T68" s="3">
        <v>60.488</v>
      </c>
      <c r="U68" s="3">
        <v>135.40100000000001</v>
      </c>
      <c r="V68" s="7">
        <v>4.1159999999999926</v>
      </c>
      <c r="W68" s="7">
        <v>3.6952685298269192</v>
      </c>
      <c r="X68" s="7">
        <v>0.42073147017307333</v>
      </c>
      <c r="Y68" s="8">
        <v>27.573700281801145</v>
      </c>
      <c r="Z68" s="8">
        <f t="shared" si="3"/>
        <v>24.595633051532218</v>
      </c>
      <c r="AA68" s="7">
        <v>13.549317942698703</v>
      </c>
      <c r="AB68" s="7">
        <v>14.024382339102443</v>
      </c>
      <c r="AC68" s="5">
        <v>1.3639999999999901</v>
      </c>
      <c r="AD68" s="4">
        <v>74.912999999999997</v>
      </c>
      <c r="AE68" s="5">
        <v>1.8670000000000044</v>
      </c>
      <c r="AF68" s="4">
        <v>57.194000000000003</v>
      </c>
      <c r="AG68" s="4">
        <v>132.107</v>
      </c>
      <c r="AH68" s="5">
        <v>3.2309999999999945</v>
      </c>
      <c r="AI68" s="9">
        <v>2.9407966133375569</v>
      </c>
      <c r="AJ68" s="9">
        <v>0.29020338666243761</v>
      </c>
      <c r="AK68" s="10">
        <v>20.456367137652293</v>
      </c>
      <c r="AL68" s="8">
        <f t="shared" si="2"/>
        <v>0.10629952901437179</v>
      </c>
      <c r="AM68" s="9">
        <v>10.78292091557104</v>
      </c>
      <c r="AN68" s="9">
        <v>9.6734462220812532</v>
      </c>
    </row>
    <row r="69" spans="1:40" x14ac:dyDescent="0.35">
      <c r="A69" s="3">
        <v>1971</v>
      </c>
      <c r="B69" s="3">
        <v>174.34399999999999</v>
      </c>
      <c r="C69" s="3">
        <v>148.536</v>
      </c>
      <c r="D69">
        <v>25.808</v>
      </c>
      <c r="E69" s="3">
        <v>120.32599999999999</v>
      </c>
      <c r="F69">
        <v>94.888000000000005</v>
      </c>
      <c r="G69">
        <v>25.439</v>
      </c>
      <c r="H69" s="3">
        <v>54.018000000000001</v>
      </c>
      <c r="I69" s="3">
        <v>5.883</v>
      </c>
      <c r="J69" s="11">
        <v>21.570999999999998</v>
      </c>
      <c r="K69" s="3">
        <v>8.4310000000000223</v>
      </c>
      <c r="L69" s="3">
        <v>2.6469999999999998</v>
      </c>
      <c r="M69" s="3">
        <v>314.154</v>
      </c>
      <c r="N69">
        <v>14.314000000000021</v>
      </c>
      <c r="O69" s="7">
        <v>52.48466666666674</v>
      </c>
      <c r="P69" s="3">
        <v>136.71799999999999</v>
      </c>
      <c r="Q69" s="3">
        <v>1.4309999999999974</v>
      </c>
      <c r="R69">
        <v>76.343999999999994</v>
      </c>
      <c r="S69" s="3">
        <v>2.9780000000000015</v>
      </c>
      <c r="T69" s="3">
        <v>63.466000000000001</v>
      </c>
      <c r="U69" s="3">
        <v>139.81</v>
      </c>
      <c r="V69" s="7">
        <v>4.4089999999999989</v>
      </c>
      <c r="W69" s="7">
        <v>3.9542069532830197</v>
      </c>
      <c r="X69" s="7">
        <v>0.45479304671697918</v>
      </c>
      <c r="Y69" s="8">
        <v>29.658527052603709</v>
      </c>
      <c r="Z69" s="8">
        <f t="shared" si="3"/>
        <v>22.826139614063031</v>
      </c>
      <c r="AA69" s="7">
        <v>14.498758828704405</v>
      </c>
      <c r="AB69" s="7">
        <v>15.159768223899306</v>
      </c>
      <c r="AC69" s="5">
        <v>1.4309999999999974</v>
      </c>
      <c r="AD69" s="4">
        <v>76.343999999999994</v>
      </c>
      <c r="AE69" s="5">
        <v>1.8900000000000006</v>
      </c>
      <c r="AF69" s="4">
        <v>59.084000000000003</v>
      </c>
      <c r="AG69" s="4">
        <v>135.428</v>
      </c>
      <c r="AH69" s="5">
        <v>3.320999999999998</v>
      </c>
      <c r="AI69" s="9">
        <v>3.0266753768531571</v>
      </c>
      <c r="AJ69" s="9">
        <v>0.29432462314684082</v>
      </c>
      <c r="AK69" s="10">
        <v>20.908630486689603</v>
      </c>
      <c r="AL69" s="8">
        <f t="shared" si="2"/>
        <v>0.66236951331039506</v>
      </c>
      <c r="AM69" s="9">
        <v>11.097809715128243</v>
      </c>
      <c r="AN69" s="9">
        <v>9.8108207715613602</v>
      </c>
    </row>
    <row r="70" spans="1:40" x14ac:dyDescent="0.35">
      <c r="A70" s="3">
        <v>1972</v>
      </c>
      <c r="B70" s="3">
        <v>185.47</v>
      </c>
      <c r="C70" s="3">
        <v>158.416</v>
      </c>
      <c r="D70">
        <v>27.053999999999998</v>
      </c>
      <c r="E70" s="3">
        <v>123.57299999999999</v>
      </c>
      <c r="F70">
        <v>97.24</v>
      </c>
      <c r="G70">
        <v>26.332000000000001</v>
      </c>
      <c r="H70" s="3">
        <v>61.897000000000006</v>
      </c>
      <c r="I70" s="3">
        <v>6.8250000000000002</v>
      </c>
      <c r="J70" s="11">
        <v>25.024999999999999</v>
      </c>
      <c r="K70" s="3">
        <v>8.6469999999999807</v>
      </c>
      <c r="L70" s="3">
        <v>2.819</v>
      </c>
      <c r="M70" s="3">
        <v>330.15100000000001</v>
      </c>
      <c r="N70">
        <v>15.47199999999998</v>
      </c>
      <c r="O70" s="7">
        <v>56.730666666666593</v>
      </c>
      <c r="P70" s="3">
        <v>141.06399999999999</v>
      </c>
      <c r="Q70" s="3">
        <v>1.6600000000000108</v>
      </c>
      <c r="R70">
        <v>78.004000000000005</v>
      </c>
      <c r="S70" s="3">
        <v>3.2110000000000056</v>
      </c>
      <c r="T70" s="3">
        <v>66.677000000000007</v>
      </c>
      <c r="U70" s="3">
        <v>144.68100000000001</v>
      </c>
      <c r="V70" s="7">
        <v>4.8710000000000164</v>
      </c>
      <c r="W70" s="7">
        <v>4.3793503399438736</v>
      </c>
      <c r="X70" s="7">
        <v>0.49164966005614286</v>
      </c>
      <c r="Y70" s="8">
        <v>32.445939914998966</v>
      </c>
      <c r="Z70" s="8">
        <f t="shared" si="3"/>
        <v>24.284726751667627</v>
      </c>
      <c r="AA70" s="7">
        <v>16.057617913127537</v>
      </c>
      <c r="AB70" s="7">
        <v>16.38832200187143</v>
      </c>
      <c r="AC70" s="5">
        <v>1.6600000000000108</v>
      </c>
      <c r="AD70" s="4">
        <v>78.004000000000005</v>
      </c>
      <c r="AE70" s="5">
        <v>1.9179999999999993</v>
      </c>
      <c r="AF70" s="4">
        <v>61.002000000000002</v>
      </c>
      <c r="AG70" s="4">
        <v>139.006</v>
      </c>
      <c r="AH70" s="5">
        <v>3.578000000000003</v>
      </c>
      <c r="AI70" s="9">
        <v>3.2770540822933061</v>
      </c>
      <c r="AJ70" s="9">
        <v>0.30094591770670376</v>
      </c>
      <c r="AK70" s="10">
        <v>22.047395558632246</v>
      </c>
      <c r="AL70" s="8">
        <f t="shared" si="2"/>
        <v>2.9776044413677525</v>
      </c>
      <c r="AM70" s="9">
        <v>12.015864968408788</v>
      </c>
      <c r="AN70" s="9">
        <v>10.031530590223459</v>
      </c>
    </row>
    <row r="71" spans="1:40" x14ac:dyDescent="0.35">
      <c r="A71" s="3">
        <v>1973</v>
      </c>
      <c r="B71" s="3">
        <v>195.83199999999999</v>
      </c>
      <c r="C71" s="3">
        <v>167.488</v>
      </c>
      <c r="D71">
        <v>28.344000000000001</v>
      </c>
      <c r="E71" s="3">
        <v>126.413</v>
      </c>
      <c r="F71">
        <v>99.186000000000007</v>
      </c>
      <c r="G71">
        <v>27.227</v>
      </c>
      <c r="H71" s="3">
        <v>69.418999999999997</v>
      </c>
      <c r="I71" s="3">
        <v>6.0419999999999998</v>
      </c>
      <c r="J71" s="11">
        <v>22.154</v>
      </c>
      <c r="K71" s="3">
        <v>8.7790000000000266</v>
      </c>
      <c r="L71" s="3">
        <v>2.9329999999999998</v>
      </c>
      <c r="M71" s="3">
        <v>345.20900000000006</v>
      </c>
      <c r="N71">
        <v>14.821000000000026</v>
      </c>
      <c r="O71" s="7">
        <v>54.343666666666763</v>
      </c>
      <c r="P71" s="3">
        <v>145.523</v>
      </c>
      <c r="Q71" s="3">
        <v>1.2590000000000003</v>
      </c>
      <c r="R71">
        <v>79.263000000000005</v>
      </c>
      <c r="S71" s="3">
        <v>3.4369999999999976</v>
      </c>
      <c r="T71" s="3">
        <v>70.114000000000004</v>
      </c>
      <c r="U71" s="3">
        <v>149.37700000000001</v>
      </c>
      <c r="V71" s="7">
        <v>4.695999999999998</v>
      </c>
      <c r="W71" s="7">
        <v>4.1753807515305148</v>
      </c>
      <c r="X71" s="7">
        <v>0.52061924846948338</v>
      </c>
      <c r="Y71" s="8">
        <v>32.663704371261332</v>
      </c>
      <c r="Z71" s="8">
        <f t="shared" si="3"/>
        <v>21.679962295405431</v>
      </c>
      <c r="AA71" s="7">
        <v>15.309729422278552</v>
      </c>
      <c r="AB71" s="7">
        <v>17.353974948982778</v>
      </c>
      <c r="AC71" s="5">
        <v>1.2590000000000003</v>
      </c>
      <c r="AD71" s="4">
        <v>79.263000000000005</v>
      </c>
      <c r="AE71" s="5">
        <v>1.9429999999999978</v>
      </c>
      <c r="AF71" s="4">
        <v>62.945</v>
      </c>
      <c r="AG71" s="4">
        <v>142.208</v>
      </c>
      <c r="AH71" s="5">
        <v>3.2019999999999982</v>
      </c>
      <c r="AI71" s="9">
        <v>2.9017298552196569</v>
      </c>
      <c r="AJ71" s="9">
        <v>0.30027014478034131</v>
      </c>
      <c r="AK71" s="10">
        <v>20.648680961816787</v>
      </c>
      <c r="AL71" s="8">
        <f t="shared" si="2"/>
        <v>1.5053190381832131</v>
      </c>
      <c r="AM71" s="9">
        <v>10.639676135805407</v>
      </c>
      <c r="AN71" s="9">
        <v>10.009004826011378</v>
      </c>
    </row>
    <row r="72" spans="1:40" x14ac:dyDescent="0.35">
      <c r="A72" s="3">
        <v>1974</v>
      </c>
      <c r="B72" s="3">
        <v>205.73699999999999</v>
      </c>
      <c r="C72" s="3">
        <v>176.07599999999999</v>
      </c>
      <c r="D72">
        <v>29.661000000000001</v>
      </c>
      <c r="E72" s="3">
        <v>129.01499999999999</v>
      </c>
      <c r="F72">
        <v>100.89400000000001</v>
      </c>
      <c r="G72">
        <v>28.122</v>
      </c>
      <c r="H72" s="3">
        <v>76.722000000000008</v>
      </c>
      <c r="I72" s="3">
        <v>5.7729999999999997</v>
      </c>
      <c r="J72" s="11">
        <v>21.167666666666666</v>
      </c>
      <c r="K72" s="3">
        <v>8.6779999999999653</v>
      </c>
      <c r="L72" s="3">
        <v>2.9870000000000001</v>
      </c>
      <c r="M72" s="3">
        <v>359.96899999999999</v>
      </c>
      <c r="N72">
        <v>14.450999999999965</v>
      </c>
      <c r="O72" s="7">
        <v>52.986999999999867</v>
      </c>
      <c r="P72" s="3">
        <v>150.06899999999999</v>
      </c>
      <c r="Q72" s="3">
        <v>1.2019999999999982</v>
      </c>
      <c r="R72">
        <v>80.465000000000003</v>
      </c>
      <c r="S72" s="3">
        <v>3.6529999999999916</v>
      </c>
      <c r="T72" s="3">
        <v>73.766999999999996</v>
      </c>
      <c r="U72" s="3">
        <v>154.232</v>
      </c>
      <c r="V72" s="7">
        <v>4.8549999999999898</v>
      </c>
      <c r="W72" s="7">
        <v>4.3031432278338606</v>
      </c>
      <c r="X72" s="7">
        <v>0.55185677216612872</v>
      </c>
      <c r="Y72" s="8">
        <v>34.173417574261777</v>
      </c>
      <c r="Z72" s="8">
        <f t="shared" si="3"/>
        <v>18.81358242573809</v>
      </c>
      <c r="AA72" s="7">
        <v>15.778191835390825</v>
      </c>
      <c r="AB72" s="7">
        <v>18.395225738870955</v>
      </c>
      <c r="AC72" s="5">
        <v>1.2019999999999982</v>
      </c>
      <c r="AD72" s="4">
        <v>80.465000000000003</v>
      </c>
      <c r="AE72" s="5">
        <v>1.9679999999999964</v>
      </c>
      <c r="AF72" s="4">
        <v>64.912999999999997</v>
      </c>
      <c r="AG72" s="4">
        <v>145.37799999999999</v>
      </c>
      <c r="AH72" s="5">
        <v>3.1699999999999875</v>
      </c>
      <c r="AI72" s="9">
        <v>2.8666627992637208</v>
      </c>
      <c r="AJ72" s="9">
        <v>0.30333720073627357</v>
      </c>
      <c r="AK72" s="10">
        <v>20.622336955176095</v>
      </c>
      <c r="AL72" s="8">
        <f t="shared" si="2"/>
        <v>0.54532971149057019</v>
      </c>
      <c r="AM72" s="9">
        <v>10.511096930633643</v>
      </c>
      <c r="AN72" s="9">
        <v>10.11124002454245</v>
      </c>
    </row>
    <row r="73" spans="1:40" x14ac:dyDescent="0.35">
      <c r="A73" s="3">
        <v>1975</v>
      </c>
      <c r="B73" s="3">
        <v>213.90100000000001</v>
      </c>
      <c r="C73" s="3">
        <v>182.91000000000003</v>
      </c>
      <c r="D73">
        <v>30.991</v>
      </c>
      <c r="E73" s="3">
        <v>131.23599999999999</v>
      </c>
      <c r="F73">
        <v>102.23399999999999</v>
      </c>
      <c r="G73">
        <v>29.001999999999999</v>
      </c>
      <c r="H73" s="3">
        <v>82.66500000000002</v>
      </c>
      <c r="I73" s="3">
        <v>5.319</v>
      </c>
      <c r="J73" s="11">
        <v>19.503</v>
      </c>
      <c r="K73" s="3">
        <v>7.5849999999999964</v>
      </c>
      <c r="L73" s="3">
        <v>3.0249999999999999</v>
      </c>
      <c r="M73" s="3">
        <v>373.10500000000002</v>
      </c>
      <c r="N73">
        <v>12.903999999999996</v>
      </c>
      <c r="O73" s="7">
        <v>47.314666666666653</v>
      </c>
      <c r="P73" s="3">
        <v>154.80799999999999</v>
      </c>
      <c r="Q73" s="3">
        <v>1.1079999999999899</v>
      </c>
      <c r="R73">
        <v>81.572999999999993</v>
      </c>
      <c r="S73" s="3">
        <v>3.8640000000000043</v>
      </c>
      <c r="T73" s="3">
        <v>77.631</v>
      </c>
      <c r="U73" s="3">
        <v>159.20400000000001</v>
      </c>
      <c r="V73" s="7">
        <v>4.9719999999999942</v>
      </c>
      <c r="W73" s="7">
        <v>4.3900457226478906</v>
      </c>
      <c r="X73" s="7">
        <v>0.58195427735210403</v>
      </c>
      <c r="Y73" s="8">
        <v>35.495310228112402</v>
      </c>
      <c r="Z73" s="8">
        <f t="shared" si="3"/>
        <v>11.819356438554252</v>
      </c>
      <c r="AA73" s="7">
        <v>16.096834316375599</v>
      </c>
      <c r="AB73" s="7">
        <v>19.398475911736799</v>
      </c>
      <c r="AC73" s="5">
        <v>1.1079999999999899</v>
      </c>
      <c r="AD73" s="4">
        <v>81.572999999999993</v>
      </c>
      <c r="AE73" s="5">
        <v>1.9900000000000091</v>
      </c>
      <c r="AF73" s="4">
        <v>66.903000000000006</v>
      </c>
      <c r="AG73" s="4">
        <v>148.476</v>
      </c>
      <c r="AH73" s="5">
        <v>3.0980000000000132</v>
      </c>
      <c r="AI73" s="9">
        <v>2.7924407830986651</v>
      </c>
      <c r="AJ73" s="9">
        <v>0.30555921690133392</v>
      </c>
      <c r="AK73" s="10">
        <v>20.424256768072901</v>
      </c>
      <c r="AL73" s="8">
        <f t="shared" si="2"/>
        <v>-0.92125676807290091</v>
      </c>
      <c r="AM73" s="9">
        <v>10.238949538028439</v>
      </c>
      <c r="AN73" s="9">
        <v>10.185307230044463</v>
      </c>
    </row>
    <row r="74" spans="1:40" x14ac:dyDescent="0.35">
      <c r="A74" s="3">
        <v>1976</v>
      </c>
      <c r="B74" s="3">
        <v>223.31700000000001</v>
      </c>
      <c r="C74" s="3">
        <v>190.93</v>
      </c>
      <c r="D74">
        <v>32.387</v>
      </c>
      <c r="E74" s="3">
        <v>133.81800000000001</v>
      </c>
      <c r="F74">
        <v>103.93300000000001</v>
      </c>
      <c r="G74">
        <v>29.885000000000002</v>
      </c>
      <c r="H74" s="3">
        <v>89.498999999999995</v>
      </c>
      <c r="I74" s="3">
        <v>5.806</v>
      </c>
      <c r="J74" s="11">
        <v>21.288666666666668</v>
      </c>
      <c r="K74" s="3">
        <v>8.5120000000000395</v>
      </c>
      <c r="L74" s="3">
        <v>3.0310000000000001</v>
      </c>
      <c r="M74" s="3">
        <v>387.79100000000005</v>
      </c>
      <c r="N74">
        <v>14.31800000000004</v>
      </c>
      <c r="O74" s="7">
        <v>52.499333333333482</v>
      </c>
      <c r="P74" s="3">
        <v>159.71100000000001</v>
      </c>
      <c r="Q74" s="3">
        <v>1.210000000000008</v>
      </c>
      <c r="R74">
        <v>82.783000000000001</v>
      </c>
      <c r="S74" s="3">
        <v>4.0600000000000023</v>
      </c>
      <c r="T74" s="3">
        <v>81.691000000000003</v>
      </c>
      <c r="U74" s="3">
        <v>164.47399999999999</v>
      </c>
      <c r="V74" s="7">
        <v>5.2700000000000102</v>
      </c>
      <c r="W74" s="7">
        <v>4.6580280158228309</v>
      </c>
      <c r="X74" s="7">
        <v>0.61197198417717891</v>
      </c>
      <c r="Y74" s="8">
        <v>37.478502197256347</v>
      </c>
      <c r="Z74" s="8">
        <f t="shared" si="3"/>
        <v>15.020831136077135</v>
      </c>
      <c r="AA74" s="7">
        <v>17.079436058017048</v>
      </c>
      <c r="AB74" s="7">
        <v>20.399066139239295</v>
      </c>
      <c r="AC74" s="5">
        <v>1.210000000000008</v>
      </c>
      <c r="AD74" s="4">
        <v>82.783000000000001</v>
      </c>
      <c r="AE74" s="5">
        <v>2.0150000000000006</v>
      </c>
      <c r="AF74" s="4">
        <v>68.918000000000006</v>
      </c>
      <c r="AG74" s="4">
        <v>151.70099999999999</v>
      </c>
      <c r="AH74" s="5">
        <v>3.2249999999999943</v>
      </c>
      <c r="AI74" s="9">
        <v>2.9146437568163339</v>
      </c>
      <c r="AJ74" s="9">
        <v>0.31035624318367483</v>
      </c>
      <c r="AK74" s="10">
        <v>21.032235214449052</v>
      </c>
      <c r="AL74" s="8">
        <f t="shared" ref="AL74:AL119" si="4">J74-AK74</f>
        <v>0.25643145221761543</v>
      </c>
      <c r="AM74" s="9">
        <v>10.687027108326557</v>
      </c>
      <c r="AN74" s="9">
        <v>10.345208106122493</v>
      </c>
    </row>
    <row r="75" spans="1:40" x14ac:dyDescent="0.35">
      <c r="A75" s="3">
        <v>1977</v>
      </c>
      <c r="B75" s="3">
        <v>232.749</v>
      </c>
      <c r="C75" s="3">
        <v>198.876</v>
      </c>
      <c r="D75">
        <v>33.872999999999998</v>
      </c>
      <c r="E75" s="3">
        <v>136.196</v>
      </c>
      <c r="F75">
        <v>105.42700000000001</v>
      </c>
      <c r="G75">
        <v>30.768999999999998</v>
      </c>
      <c r="H75" s="3">
        <v>96.552999999999997</v>
      </c>
      <c r="I75" s="3">
        <v>5.8710000000000004</v>
      </c>
      <c r="J75" s="11">
        <v>21.527000000000001</v>
      </c>
      <c r="K75" s="3">
        <v>8.9119999999999582</v>
      </c>
      <c r="L75" s="3">
        <v>3.1139999999999999</v>
      </c>
      <c r="M75" s="3">
        <v>402.94599999999997</v>
      </c>
      <c r="N75">
        <v>14.782999999999959</v>
      </c>
      <c r="O75" s="7">
        <v>54.204333333333182</v>
      </c>
      <c r="P75" s="3">
        <v>165.06100000000001</v>
      </c>
      <c r="Q75" s="3">
        <v>1.4549999999999983</v>
      </c>
      <c r="R75">
        <v>84.238</v>
      </c>
      <c r="S75" s="3">
        <v>4.2680000000000007</v>
      </c>
      <c r="T75" s="3">
        <v>85.959000000000003</v>
      </c>
      <c r="U75" s="3">
        <v>170.197</v>
      </c>
      <c r="V75" s="7">
        <v>5.722999999999999</v>
      </c>
      <c r="W75" s="7">
        <v>5.0776845514168398</v>
      </c>
      <c r="X75" s="7">
        <v>0.64531544858315937</v>
      </c>
      <c r="Y75" s="8">
        <v>40.128691641300392</v>
      </c>
      <c r="Z75" s="8">
        <f t="shared" si="3"/>
        <v>14.075641692032789</v>
      </c>
      <c r="AA75" s="7">
        <v>18.618176688528411</v>
      </c>
      <c r="AB75" s="7">
        <v>21.510514952771977</v>
      </c>
      <c r="AC75" s="5">
        <v>1.4549999999999983</v>
      </c>
      <c r="AD75" s="4">
        <v>84.238</v>
      </c>
      <c r="AE75" s="5">
        <v>2.0389999999999873</v>
      </c>
      <c r="AF75" s="4">
        <v>70.956999999999994</v>
      </c>
      <c r="AG75" s="4">
        <v>155.19499999999999</v>
      </c>
      <c r="AH75" s="5">
        <v>3.4939999999999998</v>
      </c>
      <c r="AI75" s="9">
        <v>3.177438334631753</v>
      </c>
      <c r="AJ75" s="9">
        <v>0.31656166536823238</v>
      </c>
      <c r="AK75" s="10">
        <v>22.202662739257505</v>
      </c>
      <c r="AL75" s="8">
        <f t="shared" si="4"/>
        <v>-0.67566273925750409</v>
      </c>
      <c r="AM75" s="9">
        <v>11.650607226983094</v>
      </c>
      <c r="AN75" s="9">
        <v>10.552055512274411</v>
      </c>
    </row>
    <row r="76" spans="1:40" x14ac:dyDescent="0.35">
      <c r="A76" s="3">
        <v>1978</v>
      </c>
      <c r="B76" s="3">
        <v>242.44300000000001</v>
      </c>
      <c r="C76" s="3">
        <v>207.05100000000002</v>
      </c>
      <c r="D76">
        <v>35.392000000000003</v>
      </c>
      <c r="E76" s="3">
        <v>138.44399999999999</v>
      </c>
      <c r="F76">
        <v>106.819</v>
      </c>
      <c r="G76">
        <v>31.626000000000001</v>
      </c>
      <c r="H76" s="3">
        <v>103.99900000000002</v>
      </c>
      <c r="I76" s="3">
        <v>5.72</v>
      </c>
      <c r="J76" s="11">
        <v>20.973333333333333</v>
      </c>
      <c r="K76" s="3">
        <v>9.488000000000028</v>
      </c>
      <c r="L76" s="3">
        <v>3.09</v>
      </c>
      <c r="M76" s="3">
        <v>418.50300000000004</v>
      </c>
      <c r="N76">
        <v>15.208000000000027</v>
      </c>
      <c r="O76" s="7">
        <v>55.76266666666676</v>
      </c>
      <c r="P76" s="3">
        <v>170.57599999999999</v>
      </c>
      <c r="Q76" s="3">
        <v>1.4170000000000016</v>
      </c>
      <c r="R76">
        <v>85.655000000000001</v>
      </c>
      <c r="S76" s="3">
        <v>4.445999999999998</v>
      </c>
      <c r="T76" s="3">
        <v>90.405000000000001</v>
      </c>
      <c r="U76" s="3">
        <v>176.06</v>
      </c>
      <c r="V76" s="7">
        <v>5.8629999999999995</v>
      </c>
      <c r="W76" s="7">
        <v>5.1918448973825102</v>
      </c>
      <c r="X76" s="7">
        <v>0.67115510261748956</v>
      </c>
      <c r="Y76" s="8">
        <v>41.40860137765219</v>
      </c>
      <c r="Z76" s="8">
        <f t="shared" si="3"/>
        <v>14.354065289014571</v>
      </c>
      <c r="AA76" s="7">
        <v>19.03676462373587</v>
      </c>
      <c r="AB76" s="7">
        <v>22.371836753916316</v>
      </c>
      <c r="AC76" s="5">
        <v>1.4170000000000016</v>
      </c>
      <c r="AD76" s="4">
        <v>85.655000000000001</v>
      </c>
      <c r="AE76" s="5">
        <v>2.054000000000002</v>
      </c>
      <c r="AF76" s="4">
        <v>73.010999999999996</v>
      </c>
      <c r="AG76" s="4">
        <v>158.666</v>
      </c>
      <c r="AH76" s="5">
        <v>3.4710000000000036</v>
      </c>
      <c r="AI76" s="9">
        <v>3.152639446260979</v>
      </c>
      <c r="AJ76" s="9">
        <v>0.31836055373902483</v>
      </c>
      <c r="AK76" s="10">
        <v>22.171696427591083</v>
      </c>
      <c r="AL76" s="8">
        <f t="shared" si="4"/>
        <v>-1.1983630942577506</v>
      </c>
      <c r="AM76" s="9">
        <v>11.559677969623589</v>
      </c>
      <c r="AN76" s="9">
        <v>10.612018457967494</v>
      </c>
    </row>
    <row r="77" spans="1:40" x14ac:dyDescent="0.35">
      <c r="A77" s="3">
        <v>1979</v>
      </c>
      <c r="B77" s="3">
        <v>251.59200000000001</v>
      </c>
      <c r="C77" s="3">
        <v>214.68</v>
      </c>
      <c r="D77">
        <v>36.911999999999999</v>
      </c>
      <c r="E77" s="3">
        <v>140.15</v>
      </c>
      <c r="F77">
        <v>107.712</v>
      </c>
      <c r="G77">
        <v>32.438000000000002</v>
      </c>
      <c r="H77" s="3">
        <v>111.44200000000001</v>
      </c>
      <c r="I77" s="3">
        <v>5.0090000000000003</v>
      </c>
      <c r="J77" s="11">
        <v>18.366333333333333</v>
      </c>
      <c r="K77" s="3">
        <v>9.7269999999999897</v>
      </c>
      <c r="L77" s="3">
        <v>3.0510000000000002</v>
      </c>
      <c r="M77" s="3">
        <v>433.50099999999998</v>
      </c>
      <c r="N77">
        <v>14.73599999999999</v>
      </c>
      <c r="O77" s="7">
        <v>54.031999999999961</v>
      </c>
      <c r="P77" s="3">
        <v>176.16200000000001</v>
      </c>
      <c r="Q77" s="3">
        <v>1.2409999999999997</v>
      </c>
      <c r="R77">
        <v>86.896000000000001</v>
      </c>
      <c r="S77" s="3">
        <v>4.6080000000000041</v>
      </c>
      <c r="T77" s="3">
        <v>95.013000000000005</v>
      </c>
      <c r="U77" s="3">
        <v>181.90899999999999</v>
      </c>
      <c r="V77" s="7">
        <v>5.8490000000000038</v>
      </c>
      <c r="W77" s="7">
        <v>5.1558665567860924</v>
      </c>
      <c r="X77" s="7">
        <v>0.69313344321391179</v>
      </c>
      <c r="Y77" s="8">
        <v>42.009292148679393</v>
      </c>
      <c r="Z77" s="8">
        <f t="shared" si="3"/>
        <v>12.022707851320568</v>
      </c>
      <c r="AA77" s="7">
        <v>18.904844041549001</v>
      </c>
      <c r="AB77" s="7">
        <v>23.104448107130395</v>
      </c>
      <c r="AC77" s="5">
        <v>1.2409999999999997</v>
      </c>
      <c r="AD77" s="4">
        <v>86.896000000000001</v>
      </c>
      <c r="AE77" s="5">
        <v>2.0619999999999976</v>
      </c>
      <c r="AF77" s="4">
        <v>75.072999999999993</v>
      </c>
      <c r="AG77" s="4">
        <v>161.96899999999999</v>
      </c>
      <c r="AH77" s="5">
        <v>3.3029999999999973</v>
      </c>
      <c r="AI77" s="9">
        <v>2.9853744670890014</v>
      </c>
      <c r="AJ77" s="9">
        <v>0.31762553291099582</v>
      </c>
      <c r="AK77" s="10">
        <v>21.533890809692863</v>
      </c>
      <c r="AL77" s="8">
        <f t="shared" si="4"/>
        <v>-3.16755747635953</v>
      </c>
      <c r="AM77" s="9">
        <v>10.946373045993004</v>
      </c>
      <c r="AN77" s="9">
        <v>10.587517763699861</v>
      </c>
    </row>
    <row r="78" spans="1:40" x14ac:dyDescent="0.35">
      <c r="A78" s="3">
        <v>1980</v>
      </c>
      <c r="B78" s="3">
        <v>261.70800000000003</v>
      </c>
      <c r="C78" s="3">
        <v>222.95000000000002</v>
      </c>
      <c r="D78">
        <v>38.758000000000003</v>
      </c>
      <c r="E78" s="3">
        <v>141.995</v>
      </c>
      <c r="F78">
        <v>108.52500000000001</v>
      </c>
      <c r="G78">
        <v>33.47</v>
      </c>
      <c r="H78" s="3">
        <v>119.71300000000002</v>
      </c>
      <c r="I78" s="3">
        <v>4.7489999999999997</v>
      </c>
      <c r="J78" s="11">
        <v>17.412999999999997</v>
      </c>
      <c r="K78" s="3">
        <v>10.106000000000019</v>
      </c>
      <c r="L78" s="3">
        <v>3.6619999999999999</v>
      </c>
      <c r="M78" s="3">
        <v>448.61500000000001</v>
      </c>
      <c r="N78">
        <v>14.855000000000018</v>
      </c>
      <c r="O78" s="7">
        <v>54.468333333333398</v>
      </c>
      <c r="P78" s="3">
        <v>180.90100000000001</v>
      </c>
      <c r="Q78" s="3">
        <v>1.1769999999999925</v>
      </c>
      <c r="R78">
        <v>88.072999999999993</v>
      </c>
      <c r="S78" s="3">
        <v>3.820999999999998</v>
      </c>
      <c r="T78" s="3">
        <v>98.834000000000003</v>
      </c>
      <c r="U78" s="3">
        <v>186.90699999999998</v>
      </c>
      <c r="V78" s="7">
        <v>4.9979999999999905</v>
      </c>
      <c r="W78" s="7">
        <v>4.3423484428142514</v>
      </c>
      <c r="X78" s="7">
        <v>0.65565155718573931</v>
      </c>
      <c r="Y78" s="8">
        <v>37.776996196510233</v>
      </c>
      <c r="Z78" s="8">
        <f t="shared" si="3"/>
        <v>16.691337136823165</v>
      </c>
      <c r="AA78" s="7">
        <v>15.921944290318921</v>
      </c>
      <c r="AB78" s="7">
        <v>21.85505190619131</v>
      </c>
      <c r="AC78" s="5">
        <v>1.1769999999999925</v>
      </c>
      <c r="AD78" s="4">
        <v>88.072999999999993</v>
      </c>
      <c r="AE78" s="5">
        <v>1.7270000000000039</v>
      </c>
      <c r="AF78" s="4">
        <v>76.8</v>
      </c>
      <c r="AG78" s="4">
        <v>164.87299999999999</v>
      </c>
      <c r="AH78" s="5">
        <v>2.9039999999999964</v>
      </c>
      <c r="AI78" s="9">
        <v>2.600643213608266</v>
      </c>
      <c r="AJ78" s="9">
        <v>0.30335678639173058</v>
      </c>
      <c r="AK78" s="10">
        <v>19.647584662954657</v>
      </c>
      <c r="AL78" s="8">
        <f t="shared" si="4"/>
        <v>-2.23458466295466</v>
      </c>
      <c r="AM78" s="9">
        <v>9.5356917832303072</v>
      </c>
      <c r="AN78" s="9">
        <v>10.111892879724351</v>
      </c>
    </row>
    <row r="79" spans="1:40" x14ac:dyDescent="0.35">
      <c r="A79" s="3">
        <v>1981</v>
      </c>
      <c r="B79" s="3">
        <v>270.93400000000003</v>
      </c>
      <c r="C79" s="3">
        <v>230.28600000000003</v>
      </c>
      <c r="D79">
        <v>40.648000000000003</v>
      </c>
      <c r="E79" s="3">
        <v>143.24799999999999</v>
      </c>
      <c r="F79">
        <v>108.77599999999998</v>
      </c>
      <c r="G79">
        <v>34.472000000000001</v>
      </c>
      <c r="H79" s="3">
        <v>127.68600000000004</v>
      </c>
      <c r="I79" s="3">
        <v>3.9460000000000002</v>
      </c>
      <c r="J79" s="11">
        <v>14.468666666666667</v>
      </c>
      <c r="K79" s="3">
        <v>9.9639999999999684</v>
      </c>
      <c r="L79" s="3">
        <v>3.742</v>
      </c>
      <c r="M79" s="3">
        <v>462.74700000000001</v>
      </c>
      <c r="N79">
        <v>13.909999999999968</v>
      </c>
      <c r="O79" s="7">
        <v>51.003333333333217</v>
      </c>
      <c r="P79" s="3">
        <v>185.58600000000001</v>
      </c>
      <c r="Q79" s="3">
        <v>0.97800000000000864</v>
      </c>
      <c r="R79">
        <v>89.051000000000002</v>
      </c>
      <c r="S79" s="3">
        <v>3.9279999999999973</v>
      </c>
      <c r="T79" s="3">
        <v>102.762</v>
      </c>
      <c r="U79" s="3">
        <v>191.81299999999999</v>
      </c>
      <c r="V79" s="7">
        <v>4.9060000000000059</v>
      </c>
      <c r="W79" s="7">
        <v>4.2345119350301754</v>
      </c>
      <c r="X79" s="7">
        <v>0.67148806496983016</v>
      </c>
      <c r="Y79" s="8">
        <v>37.909479260771647</v>
      </c>
      <c r="Z79" s="8">
        <f t="shared" si="3"/>
        <v>13.09385407256157</v>
      </c>
      <c r="AA79" s="7">
        <v>15.526543761777312</v>
      </c>
      <c r="AB79" s="7">
        <v>22.382935498994339</v>
      </c>
      <c r="AC79" s="5">
        <v>0.97800000000000864</v>
      </c>
      <c r="AD79" s="4">
        <v>89.051000000000002</v>
      </c>
      <c r="AE79" s="5">
        <v>1.7150000000000034</v>
      </c>
      <c r="AF79" s="4">
        <v>78.515000000000001</v>
      </c>
      <c r="AG79" s="4">
        <v>167.566</v>
      </c>
      <c r="AH79" s="5">
        <v>2.6930000000000121</v>
      </c>
      <c r="AI79" s="9">
        <v>2.3938272778034118</v>
      </c>
      <c r="AJ79" s="9">
        <v>0.2991727221966004</v>
      </c>
      <c r="AK79" s="10">
        <v>18.749790758499188</v>
      </c>
      <c r="AL79" s="8">
        <f t="shared" si="4"/>
        <v>-4.2811240918325204</v>
      </c>
      <c r="AM79" s="9">
        <v>8.7773666852791763</v>
      </c>
      <c r="AN79" s="9">
        <v>9.9724240732200133</v>
      </c>
    </row>
    <row r="80" spans="1:40" x14ac:dyDescent="0.35">
      <c r="A80" s="3">
        <v>1982</v>
      </c>
      <c r="B80" s="3">
        <v>279.55500000000001</v>
      </c>
      <c r="C80" s="3">
        <v>237.964</v>
      </c>
      <c r="D80">
        <v>41.591000000000001</v>
      </c>
      <c r="E80" s="3">
        <v>144.14500000000001</v>
      </c>
      <c r="F80">
        <v>108.70800000000001</v>
      </c>
      <c r="G80">
        <v>35.436999999999998</v>
      </c>
      <c r="H80" s="3">
        <v>135.41</v>
      </c>
      <c r="I80" s="3">
        <v>3.4460000000000002</v>
      </c>
      <c r="J80" s="11">
        <v>12.635333333333334</v>
      </c>
      <c r="K80" s="3">
        <v>9.8310000000000439</v>
      </c>
      <c r="L80" s="3">
        <v>3.806</v>
      </c>
      <c r="M80" s="3">
        <v>476.24100000000004</v>
      </c>
      <c r="N80">
        <v>13.277000000000044</v>
      </c>
      <c r="O80" s="7">
        <v>48.682333333333489</v>
      </c>
      <c r="P80" s="3">
        <v>190.24199999999999</v>
      </c>
      <c r="Q80" s="3">
        <v>0.8539999999999992</v>
      </c>
      <c r="R80">
        <v>89.905000000000001</v>
      </c>
      <c r="S80" s="3">
        <v>4.0190000000000055</v>
      </c>
      <c r="T80" s="3">
        <v>106.78100000000001</v>
      </c>
      <c r="U80" s="3">
        <v>196.68600000000001</v>
      </c>
      <c r="V80" s="7">
        <v>4.8730000000000047</v>
      </c>
      <c r="W80" s="7">
        <v>4.187551245117862</v>
      </c>
      <c r="X80" s="7">
        <v>0.68544875488214263</v>
      </c>
      <c r="Y80" s="8">
        <v>38.202646394836911</v>
      </c>
      <c r="Z80" s="8">
        <f t="shared" si="3"/>
        <v>10.479686938496577</v>
      </c>
      <c r="AA80" s="7">
        <v>15.35435456543216</v>
      </c>
      <c r="AB80" s="7">
        <v>22.848291829404751</v>
      </c>
      <c r="AC80" s="5">
        <v>0.8539999999999992</v>
      </c>
      <c r="AD80" s="4">
        <v>89.905000000000001</v>
      </c>
      <c r="AE80" s="5">
        <v>1.695999999999998</v>
      </c>
      <c r="AF80" s="4">
        <v>80.210999999999999</v>
      </c>
      <c r="AG80" s="4">
        <v>170.11600000000001</v>
      </c>
      <c r="AH80" s="5">
        <v>2.5500000000000114</v>
      </c>
      <c r="AI80" s="9">
        <v>2.2553729989643152</v>
      </c>
      <c r="AJ80" s="9">
        <v>0.29462700103568173</v>
      </c>
      <c r="AK80" s="10">
        <v>18.09060103072521</v>
      </c>
      <c r="AL80" s="8">
        <f t="shared" si="4"/>
        <v>-5.4552676973918768</v>
      </c>
      <c r="AM80" s="9">
        <v>8.2697009962024897</v>
      </c>
      <c r="AN80" s="9">
        <v>9.8209000345227224</v>
      </c>
    </row>
    <row r="81" spans="1:40" x14ac:dyDescent="0.35">
      <c r="A81" s="3">
        <v>1983</v>
      </c>
      <c r="B81" s="3">
        <v>290.983</v>
      </c>
      <c r="C81" s="3">
        <v>248.24299999999999</v>
      </c>
      <c r="D81">
        <v>42.74</v>
      </c>
      <c r="E81" s="3">
        <v>145.93899999999999</v>
      </c>
      <c r="F81">
        <v>109.51899999999999</v>
      </c>
      <c r="G81">
        <v>36.42</v>
      </c>
      <c r="H81" s="3">
        <v>145.04400000000001</v>
      </c>
      <c r="I81" s="3">
        <v>5.032</v>
      </c>
      <c r="J81" s="11">
        <v>18.450666666666667</v>
      </c>
      <c r="K81" s="3">
        <v>11.301999999999946</v>
      </c>
      <c r="L81" s="3">
        <v>4.0030000000000001</v>
      </c>
      <c r="M81" s="3">
        <v>493.34</v>
      </c>
      <c r="N81">
        <v>16.333999999999946</v>
      </c>
      <c r="O81" s="7">
        <v>59.891333333333137</v>
      </c>
      <c r="P81" s="3">
        <v>195.148</v>
      </c>
      <c r="Q81" s="3">
        <v>1.5600000000000023</v>
      </c>
      <c r="R81">
        <v>91.465000000000003</v>
      </c>
      <c r="S81" s="3">
        <v>4.11099999999999</v>
      </c>
      <c r="T81" s="3">
        <v>110.892</v>
      </c>
      <c r="U81" s="3">
        <v>202.357</v>
      </c>
      <c r="V81" s="7">
        <v>5.6709999999999923</v>
      </c>
      <c r="W81" s="7">
        <v>4.9623916523946878</v>
      </c>
      <c r="X81" s="7">
        <v>0.70860834760530467</v>
      </c>
      <c r="Y81" s="8">
        <v>41.81571431229068</v>
      </c>
      <c r="Z81" s="8">
        <f t="shared" si="3"/>
        <v>18.075619021042456</v>
      </c>
      <c r="AA81" s="7">
        <v>18.195436058780523</v>
      </c>
      <c r="AB81" s="7">
        <v>23.620278253510154</v>
      </c>
      <c r="AC81" s="5">
        <v>1.5600000000000023</v>
      </c>
      <c r="AD81" s="4">
        <v>91.465000000000003</v>
      </c>
      <c r="AE81" s="5">
        <v>1.6770000000000067</v>
      </c>
      <c r="AF81" s="4">
        <v>81.888000000000005</v>
      </c>
      <c r="AG81" s="4">
        <v>173.35300000000001</v>
      </c>
      <c r="AH81" s="5">
        <v>3.2369999999999948</v>
      </c>
      <c r="AI81" s="9">
        <v>2.9378880574150559</v>
      </c>
      <c r="AJ81" s="9">
        <v>0.29911194258495333</v>
      </c>
      <c r="AK81" s="10">
        <v>20.742654296686982</v>
      </c>
      <c r="AL81" s="8">
        <f t="shared" si="4"/>
        <v>-2.2919876300203157</v>
      </c>
      <c r="AM81" s="9">
        <v>10.772256210521871</v>
      </c>
      <c r="AN81" s="9">
        <v>9.9703980861651118</v>
      </c>
    </row>
    <row r="82" spans="1:40" x14ac:dyDescent="0.35">
      <c r="A82" s="3">
        <v>1984</v>
      </c>
      <c r="B82" s="3">
        <v>302.87400000000002</v>
      </c>
      <c r="C82" s="3">
        <v>258.86600000000004</v>
      </c>
      <c r="D82">
        <v>44.008000000000003</v>
      </c>
      <c r="E82" s="3">
        <v>147.81899999999999</v>
      </c>
      <c r="F82">
        <v>110.404</v>
      </c>
      <c r="G82">
        <v>37.414999999999999</v>
      </c>
      <c r="H82" s="3">
        <v>155.05500000000004</v>
      </c>
      <c r="I82" s="3">
        <v>5.1230000000000002</v>
      </c>
      <c r="J82" s="11">
        <v>18.784333333333333</v>
      </c>
      <c r="K82" s="3">
        <v>12.034000000000038</v>
      </c>
      <c r="L82" s="3">
        <v>4.1870000000000003</v>
      </c>
      <c r="M82" s="3">
        <v>511.01499999999999</v>
      </c>
      <c r="N82">
        <v>17.157000000000039</v>
      </c>
      <c r="O82" s="7">
        <v>62.909000000000141</v>
      </c>
      <c r="P82" s="3">
        <v>200.41399999999999</v>
      </c>
      <c r="Q82" s="3">
        <v>1.5879999999999939</v>
      </c>
      <c r="R82">
        <v>93.052999999999997</v>
      </c>
      <c r="S82" s="3">
        <v>4.195999999999998</v>
      </c>
      <c r="T82" s="3">
        <v>115.08799999999999</v>
      </c>
      <c r="U82" s="3">
        <v>208.14099999999999</v>
      </c>
      <c r="V82" s="7">
        <v>5.7839999999999918</v>
      </c>
      <c r="W82" s="7">
        <v>5.0607865949755872</v>
      </c>
      <c r="X82" s="7">
        <v>0.72321340502440412</v>
      </c>
      <c r="Y82" s="8">
        <v>42.663331015723955</v>
      </c>
      <c r="Z82" s="8">
        <f t="shared" si="3"/>
        <v>20.245668984276186</v>
      </c>
      <c r="AA82" s="7">
        <v>18.556217514910486</v>
      </c>
      <c r="AB82" s="7">
        <v>24.107113500813469</v>
      </c>
      <c r="AC82" s="5">
        <v>1.5879999999999939</v>
      </c>
      <c r="AD82" s="4">
        <v>93.052999999999997</v>
      </c>
      <c r="AE82" s="5">
        <v>1.6559999999999917</v>
      </c>
      <c r="AF82" s="4">
        <v>83.543999999999997</v>
      </c>
      <c r="AG82" s="4">
        <v>176.59700000000001</v>
      </c>
      <c r="AH82" s="5">
        <v>3.2439999999999998</v>
      </c>
      <c r="AI82" s="9">
        <v>2.9481164506665025</v>
      </c>
      <c r="AJ82" s="9">
        <v>0.29588354933348304</v>
      </c>
      <c r="AK82" s="10">
        <v>20.672545296893276</v>
      </c>
      <c r="AL82" s="8">
        <f t="shared" si="4"/>
        <v>-1.888211963559943</v>
      </c>
      <c r="AM82" s="9">
        <v>10.809760319110509</v>
      </c>
      <c r="AN82" s="9">
        <v>9.8627849777827681</v>
      </c>
    </row>
    <row r="83" spans="1:40" x14ac:dyDescent="0.35">
      <c r="A83" s="3">
        <v>1985</v>
      </c>
      <c r="B83" s="3">
        <v>315.483</v>
      </c>
      <c r="C83" s="3">
        <v>270.096</v>
      </c>
      <c r="D83">
        <v>45.387</v>
      </c>
      <c r="E83" s="3">
        <v>150.04499999999999</v>
      </c>
      <c r="F83">
        <v>111.60899999999998</v>
      </c>
      <c r="G83">
        <v>38.436</v>
      </c>
      <c r="H83" s="3">
        <v>165.43800000000002</v>
      </c>
      <c r="I83" s="3">
        <v>5.5949999999999998</v>
      </c>
      <c r="J83" s="11">
        <v>20.514999999999997</v>
      </c>
      <c r="K83" s="3">
        <v>12.405000000000001</v>
      </c>
      <c r="L83" s="3">
        <v>4.3540000000000001</v>
      </c>
      <c r="M83" s="3">
        <v>529.64</v>
      </c>
      <c r="N83">
        <v>18</v>
      </c>
      <c r="O83" s="7">
        <v>66</v>
      </c>
      <c r="P83" s="3">
        <v>205.80600000000001</v>
      </c>
      <c r="Q83" s="3">
        <v>1.7349999999999994</v>
      </c>
      <c r="R83">
        <v>94.787999999999997</v>
      </c>
      <c r="S83" s="3">
        <v>4.2810000000000059</v>
      </c>
      <c r="T83" s="3">
        <v>119.369</v>
      </c>
      <c r="U83" s="3">
        <v>214.15699999999998</v>
      </c>
      <c r="V83" s="7">
        <v>6.0160000000000053</v>
      </c>
      <c r="W83" s="7">
        <v>5.2768867798908241</v>
      </c>
      <c r="X83" s="7">
        <v>0.73911322010918123</v>
      </c>
      <c r="Y83" s="8">
        <v>43.985692196572394</v>
      </c>
      <c r="Z83" s="8">
        <f t="shared" si="3"/>
        <v>22.014307803427606</v>
      </c>
      <c r="AA83" s="7">
        <v>19.348584859599686</v>
      </c>
      <c r="AB83" s="7">
        <v>24.637107336972708</v>
      </c>
      <c r="AC83" s="5">
        <v>1.7349999999999994</v>
      </c>
      <c r="AD83" s="4">
        <v>94.787999999999997</v>
      </c>
      <c r="AE83" s="5">
        <v>1.6340000000000003</v>
      </c>
      <c r="AF83" s="4">
        <v>85.177999999999997</v>
      </c>
      <c r="AG83" s="4">
        <v>179.96600000000001</v>
      </c>
      <c r="AH83" s="5">
        <v>3.3689999999999998</v>
      </c>
      <c r="AI83" s="9">
        <v>3.0752183263529709</v>
      </c>
      <c r="AJ83" s="9">
        <v>0.2937816736470289</v>
      </c>
      <c r="AK83" s="10">
        <v>21.068522984861858</v>
      </c>
      <c r="AL83" s="8">
        <f t="shared" si="4"/>
        <v>-0.55352298486186058</v>
      </c>
      <c r="AM83" s="9">
        <v>11.275800529960893</v>
      </c>
      <c r="AN83" s="9">
        <v>9.7927224549009626</v>
      </c>
    </row>
    <row r="84" spans="1:40" s="2" customFormat="1" x14ac:dyDescent="0.35">
      <c r="A84" s="3">
        <v>1986</v>
      </c>
      <c r="B84" s="3">
        <v>329.548</v>
      </c>
      <c r="C84" s="3">
        <v>282.63800000000003</v>
      </c>
      <c r="D84">
        <v>46.91</v>
      </c>
      <c r="E84" s="3">
        <v>152.72</v>
      </c>
      <c r="F84">
        <v>113.21799999999999</v>
      </c>
      <c r="G84">
        <v>39.502000000000002</v>
      </c>
      <c r="H84" s="3">
        <v>176.828</v>
      </c>
      <c r="I84" s="3">
        <v>6.0140000000000002</v>
      </c>
      <c r="J84" s="11">
        <v>22.051333333333332</v>
      </c>
      <c r="K84" s="3">
        <v>13.542000000000041</v>
      </c>
      <c r="L84" s="3">
        <v>4.5679999999999996</v>
      </c>
      <c r="M84" s="3">
        <v>549.79700000000003</v>
      </c>
      <c r="N84">
        <v>19.55600000000004</v>
      </c>
      <c r="O84" s="7">
        <v>71.705333333333471</v>
      </c>
      <c r="P84" s="3">
        <v>211.29599999999999</v>
      </c>
      <c r="Q84" s="3">
        <v>1.7210000000000036</v>
      </c>
      <c r="R84">
        <v>96.509</v>
      </c>
      <c r="S84" s="3">
        <v>4.3709999999999951</v>
      </c>
      <c r="T84" s="3">
        <v>123.74</v>
      </c>
      <c r="U84" s="3">
        <v>220.249</v>
      </c>
      <c r="V84" s="7">
        <v>6.0919999999999987</v>
      </c>
      <c r="W84" s="7">
        <v>5.337897495262161</v>
      </c>
      <c r="X84" s="7">
        <v>0.7541025047378378</v>
      </c>
      <c r="Y84" s="8">
        <v>44.709040973889181</v>
      </c>
      <c r="Z84" s="8">
        <f t="shared" si="3"/>
        <v>26.99629235944429</v>
      </c>
      <c r="AA84" s="7">
        <v>19.572290815961257</v>
      </c>
      <c r="AB84" s="7">
        <v>25.136750157927924</v>
      </c>
      <c r="AC84" s="5">
        <v>1.7210000000000036</v>
      </c>
      <c r="AD84" s="4">
        <v>96.509</v>
      </c>
      <c r="AE84" s="5">
        <v>1.6170000000000044</v>
      </c>
      <c r="AF84" s="4">
        <v>86.795000000000002</v>
      </c>
      <c r="AG84" s="4">
        <v>183.304</v>
      </c>
      <c r="AH84" s="5">
        <v>3.3379999999999939</v>
      </c>
      <c r="AI84" s="9">
        <v>3.0472307324955521</v>
      </c>
      <c r="AJ84" s="9">
        <v>0.2907692675044562</v>
      </c>
      <c r="AK84" s="10">
        <v>20.865488269298893</v>
      </c>
      <c r="AL84" s="8">
        <f t="shared" si="4"/>
        <v>1.1858450640344387</v>
      </c>
      <c r="AM84" s="9">
        <v>11.17317935248369</v>
      </c>
      <c r="AN84" s="9">
        <v>9.6923089168152057</v>
      </c>
    </row>
    <row r="85" spans="1:40" x14ac:dyDescent="0.35">
      <c r="A85" s="3">
        <v>1987</v>
      </c>
      <c r="B85" s="3">
        <v>344.505</v>
      </c>
      <c r="C85" s="3">
        <v>295.93599999999998</v>
      </c>
      <c r="D85">
        <v>48.569000000000003</v>
      </c>
      <c r="E85" s="3">
        <v>155.697</v>
      </c>
      <c r="F85">
        <v>115.087</v>
      </c>
      <c r="G85">
        <v>40.61</v>
      </c>
      <c r="H85" s="3">
        <v>188.80799999999999</v>
      </c>
      <c r="I85" s="3">
        <v>6.4139999999999997</v>
      </c>
      <c r="J85" s="11">
        <v>23.517999999999997</v>
      </c>
      <c r="K85" s="3">
        <v>14.220999999999991</v>
      </c>
      <c r="L85" s="3">
        <v>4.8040000000000003</v>
      </c>
      <c r="M85" s="3">
        <v>571.06000000000006</v>
      </c>
      <c r="N85">
        <v>20.634999999999991</v>
      </c>
      <c r="O85" s="7">
        <v>75.661666666666633</v>
      </c>
      <c r="P85" s="3">
        <v>216.97399999999999</v>
      </c>
      <c r="Q85" s="3">
        <v>1.8359999999999985</v>
      </c>
      <c r="R85">
        <v>98.344999999999999</v>
      </c>
      <c r="S85" s="3">
        <v>4.4700000000000131</v>
      </c>
      <c r="T85" s="3">
        <v>128.21</v>
      </c>
      <c r="U85" s="3">
        <v>226.55500000000001</v>
      </c>
      <c r="V85" s="7">
        <v>6.3060000000000116</v>
      </c>
      <c r="W85" s="7">
        <v>5.5339904888966602</v>
      </c>
      <c r="X85" s="7">
        <v>0.77200951110335136</v>
      </c>
      <c r="Y85" s="8">
        <v>46.024948829399463</v>
      </c>
      <c r="Z85" s="8">
        <f t="shared" si="3"/>
        <v>29.63671783726717</v>
      </c>
      <c r="AA85" s="7">
        <v>20.291298459287752</v>
      </c>
      <c r="AB85" s="7">
        <v>25.733650370111715</v>
      </c>
      <c r="AC85" s="5">
        <v>1.8359999999999985</v>
      </c>
      <c r="AD85" s="4">
        <v>98.344999999999999</v>
      </c>
      <c r="AE85" s="5">
        <v>1.6009999999999991</v>
      </c>
      <c r="AF85" s="4">
        <v>88.396000000000001</v>
      </c>
      <c r="AG85" s="4">
        <v>186.74100000000001</v>
      </c>
      <c r="AH85" s="5">
        <v>3.4370000000000118</v>
      </c>
      <c r="AI85" s="9">
        <v>3.1476713377065897</v>
      </c>
      <c r="AJ85" s="9">
        <v>0.28932866229340815</v>
      </c>
      <c r="AK85" s="10">
        <v>21.185750314704428</v>
      </c>
      <c r="AL85" s="8">
        <f t="shared" si="4"/>
        <v>2.3322496852955688</v>
      </c>
      <c r="AM85" s="9">
        <v>11.541461571590826</v>
      </c>
      <c r="AN85" s="9">
        <v>9.644288743113604</v>
      </c>
    </row>
    <row r="86" spans="1:40" x14ac:dyDescent="0.35">
      <c r="A86" s="3">
        <v>1988</v>
      </c>
      <c r="B86" s="3">
        <v>359.60700000000003</v>
      </c>
      <c r="C86" s="3">
        <v>310.274</v>
      </c>
      <c r="D86">
        <v>49.332999999999998</v>
      </c>
      <c r="E86" s="3">
        <v>158.875</v>
      </c>
      <c r="F86">
        <v>117.11</v>
      </c>
      <c r="G86">
        <v>41.765000000000001</v>
      </c>
      <c r="H86" s="3">
        <v>200.73200000000003</v>
      </c>
      <c r="I86" s="3">
        <v>6.6769999999999996</v>
      </c>
      <c r="J86" s="11">
        <v>24.48233333333333</v>
      </c>
      <c r="K86" s="3">
        <v>14.272999999999932</v>
      </c>
      <c r="L86" s="3">
        <v>5.0259999999999998</v>
      </c>
      <c r="M86" s="3">
        <v>592.64900000000011</v>
      </c>
      <c r="N86">
        <v>20.949999999999932</v>
      </c>
      <c r="O86" s="7">
        <v>76.816666666666407</v>
      </c>
      <c r="P86" s="3">
        <v>222.82300000000001</v>
      </c>
      <c r="Q86" s="3">
        <v>1.9110000000000014</v>
      </c>
      <c r="R86">
        <v>100.256</v>
      </c>
      <c r="S86" s="3">
        <v>4.5759999999999934</v>
      </c>
      <c r="T86" s="3">
        <v>132.786</v>
      </c>
      <c r="U86" s="3">
        <v>233.042</v>
      </c>
      <c r="V86" s="7">
        <v>6.4869999999999948</v>
      </c>
      <c r="W86" s="7">
        <v>5.6963410144872091</v>
      </c>
      <c r="X86" s="7">
        <v>0.79065898551278591</v>
      </c>
      <c r="Y86" s="8">
        <v>47.241883236879296</v>
      </c>
      <c r="Z86" s="8">
        <f t="shared" si="3"/>
        <v>29.574783429787111</v>
      </c>
      <c r="AA86" s="7">
        <v>20.886583719786433</v>
      </c>
      <c r="AB86" s="7">
        <v>26.355299517092863</v>
      </c>
      <c r="AC86" s="5">
        <v>1.9110000000000014</v>
      </c>
      <c r="AD86" s="4">
        <v>100.256</v>
      </c>
      <c r="AE86" s="5">
        <v>1.5889999999999986</v>
      </c>
      <c r="AF86" s="4">
        <v>89.984999999999999</v>
      </c>
      <c r="AG86" s="4">
        <v>190.24100000000001</v>
      </c>
      <c r="AH86" s="5">
        <v>3.5</v>
      </c>
      <c r="AI86" s="9">
        <v>3.2118741951757084</v>
      </c>
      <c r="AJ86" s="9">
        <v>0.28812580482429184</v>
      </c>
      <c r="AK86" s="10">
        <v>21.381065543120656</v>
      </c>
      <c r="AL86" s="8">
        <f t="shared" si="4"/>
        <v>3.101267790212674</v>
      </c>
      <c r="AM86" s="9">
        <v>11.776872048977596</v>
      </c>
      <c r="AN86" s="9">
        <v>9.6041934941430611</v>
      </c>
    </row>
    <row r="87" spans="1:40" x14ac:dyDescent="0.35">
      <c r="A87" s="3">
        <v>1989</v>
      </c>
      <c r="B87" s="3">
        <v>374.41199999999998</v>
      </c>
      <c r="C87" s="3">
        <v>324.17399999999998</v>
      </c>
      <c r="D87">
        <v>50.238</v>
      </c>
      <c r="E87" s="3">
        <v>161.85</v>
      </c>
      <c r="F87">
        <v>118.88499999999999</v>
      </c>
      <c r="G87">
        <v>42.965000000000003</v>
      </c>
      <c r="H87" s="3">
        <v>212.56199999999998</v>
      </c>
      <c r="I87" s="3">
        <v>6.5090000000000003</v>
      </c>
      <c r="J87" s="11">
        <v>23.866333333333333</v>
      </c>
      <c r="K87" s="3">
        <v>14.21400000000007</v>
      </c>
      <c r="L87" s="3">
        <v>5.2679999999999998</v>
      </c>
      <c r="M87" s="3">
        <v>614.101</v>
      </c>
      <c r="N87">
        <v>20.72300000000007</v>
      </c>
      <c r="O87" s="7">
        <v>75.984333333333581</v>
      </c>
      <c r="P87" s="3">
        <v>228.74</v>
      </c>
      <c r="Q87" s="3">
        <v>1.9549999999999983</v>
      </c>
      <c r="R87">
        <v>102.211</v>
      </c>
      <c r="S87" s="3">
        <v>4.6920000000000073</v>
      </c>
      <c r="T87" s="3">
        <v>137.47800000000001</v>
      </c>
      <c r="U87" s="3">
        <v>239.68900000000002</v>
      </c>
      <c r="V87" s="7">
        <v>6.6470000000000056</v>
      </c>
      <c r="W87" s="7">
        <v>5.8363464288831892</v>
      </c>
      <c r="X87" s="7">
        <v>0.81065357111681657</v>
      </c>
      <c r="Y87" s="8">
        <v>48.421722609798906</v>
      </c>
      <c r="Z87" s="8">
        <f t="shared" si="3"/>
        <v>27.562610723534675</v>
      </c>
      <c r="AA87" s="7">
        <v>21.399936905905026</v>
      </c>
      <c r="AB87" s="7">
        <v>27.021785703893883</v>
      </c>
      <c r="AC87" s="5">
        <v>1.9549999999999983</v>
      </c>
      <c r="AD87" s="4">
        <v>102.211</v>
      </c>
      <c r="AE87" s="5">
        <v>1.5789999999999935</v>
      </c>
      <c r="AF87" s="4">
        <v>91.563999999999993</v>
      </c>
      <c r="AG87" s="4">
        <v>193.77500000000001</v>
      </c>
      <c r="AH87" s="5">
        <v>3.5339999999999918</v>
      </c>
      <c r="AI87" s="9">
        <v>3.2470778622555527</v>
      </c>
      <c r="AJ87" s="9">
        <v>0.28692213774443909</v>
      </c>
      <c r="AK87" s="10">
        <v>21.470023419751662</v>
      </c>
      <c r="AL87" s="8">
        <f t="shared" si="4"/>
        <v>2.3963099135816712</v>
      </c>
      <c r="AM87" s="9">
        <v>11.905952161603693</v>
      </c>
      <c r="AN87" s="9">
        <v>9.564071258147969</v>
      </c>
    </row>
    <row r="88" spans="1:40" x14ac:dyDescent="0.35">
      <c r="A88" s="3">
        <v>1990</v>
      </c>
      <c r="B88" s="3">
        <v>390.39499999999998</v>
      </c>
      <c r="C88" s="3">
        <v>337.94099999999997</v>
      </c>
      <c r="D88">
        <v>52.454000000000001</v>
      </c>
      <c r="E88" s="3">
        <v>164.73699999999999</v>
      </c>
      <c r="F88">
        <v>120.97799999999999</v>
      </c>
      <c r="G88">
        <v>43.759</v>
      </c>
      <c r="H88" s="3">
        <v>225.65799999999999</v>
      </c>
      <c r="I88" s="3">
        <v>6.6459999999999999</v>
      </c>
      <c r="J88" s="11">
        <v>24.368666666666666</v>
      </c>
      <c r="K88" s="3">
        <v>16.157999999999973</v>
      </c>
      <c r="L88" s="3">
        <v>3.911</v>
      </c>
      <c r="M88" s="3">
        <v>637.61699999999996</v>
      </c>
      <c r="N88">
        <v>22.803999999999974</v>
      </c>
      <c r="O88" s="7">
        <v>83.614666666666565</v>
      </c>
      <c r="P88" s="3">
        <v>235.56200000000001</v>
      </c>
      <c r="Q88" s="3">
        <v>1.9969999999999999</v>
      </c>
      <c r="R88">
        <v>104.208</v>
      </c>
      <c r="S88" s="3">
        <v>5.5360000000000014</v>
      </c>
      <c r="T88" s="3">
        <v>143.01400000000001</v>
      </c>
      <c r="U88" s="3">
        <v>247.22200000000001</v>
      </c>
      <c r="V88" s="7">
        <v>7.5330000000000013</v>
      </c>
      <c r="W88" s="7">
        <v>6.7173956182030414</v>
      </c>
      <c r="X88" s="7">
        <v>0.81560438179696004</v>
      </c>
      <c r="Y88" s="8">
        <v>51.817263326643143</v>
      </c>
      <c r="Z88" s="8">
        <f t="shared" si="3"/>
        <v>31.797403340023422</v>
      </c>
      <c r="AA88" s="7">
        <v>24.630450600077815</v>
      </c>
      <c r="AB88" s="7">
        <v>27.186812726565332</v>
      </c>
      <c r="AC88" s="5">
        <v>1.9969999999999999</v>
      </c>
      <c r="AD88" s="4">
        <v>104.208</v>
      </c>
      <c r="AE88" s="5">
        <v>1.7630000000000052</v>
      </c>
      <c r="AF88" s="4">
        <v>93.326999999999998</v>
      </c>
      <c r="AG88" s="4">
        <v>197.535</v>
      </c>
      <c r="AH88" s="5">
        <v>3.7599999999999909</v>
      </c>
      <c r="AI88" s="9">
        <v>3.4854533527361946</v>
      </c>
      <c r="AJ88" s="9">
        <v>0.27454664726381051</v>
      </c>
      <c r="AK88" s="10">
        <v>21.931550535493063</v>
      </c>
      <c r="AL88" s="8">
        <f t="shared" si="4"/>
        <v>2.4371161311736032</v>
      </c>
      <c r="AM88" s="9">
        <v>12.77999562669938</v>
      </c>
      <c r="AN88" s="9">
        <v>9.1515549087936829</v>
      </c>
    </row>
    <row r="89" spans="1:40" x14ac:dyDescent="0.35">
      <c r="A89" s="3">
        <v>1991</v>
      </c>
      <c r="B89" s="3">
        <v>404.70400000000001</v>
      </c>
      <c r="C89" s="3">
        <v>350.041</v>
      </c>
      <c r="D89">
        <v>54.662999999999997</v>
      </c>
      <c r="E89" s="3">
        <v>166.768</v>
      </c>
      <c r="F89">
        <v>122.229</v>
      </c>
      <c r="G89">
        <v>44.539000000000001</v>
      </c>
      <c r="H89" s="3">
        <v>237.93600000000001</v>
      </c>
      <c r="I89" s="3">
        <v>5.4320000000000004</v>
      </c>
      <c r="J89" s="11">
        <v>19.917333333333335</v>
      </c>
      <c r="K89" s="3">
        <v>15.707999999999986</v>
      </c>
      <c r="L89" s="3">
        <v>3.976</v>
      </c>
      <c r="M89" s="3">
        <v>659.28700000000003</v>
      </c>
      <c r="N89">
        <v>21.139999999999986</v>
      </c>
      <c r="O89" s="7">
        <v>77.513333333333279</v>
      </c>
      <c r="P89" s="3">
        <v>242.39099999999999</v>
      </c>
      <c r="Q89" s="3">
        <v>1.6310000000000002</v>
      </c>
      <c r="R89">
        <v>105.839</v>
      </c>
      <c r="S89" s="3">
        <v>5.7299999999999898</v>
      </c>
      <c r="T89" s="3">
        <v>148.744</v>
      </c>
      <c r="U89" s="3">
        <v>254.583</v>
      </c>
      <c r="V89" s="7">
        <v>7.36099999999999</v>
      </c>
      <c r="W89" s="7">
        <v>6.5465907323055976</v>
      </c>
      <c r="X89" s="7">
        <v>0.81440926769439281</v>
      </c>
      <c r="Y89" s="8">
        <v>51.151141608266947</v>
      </c>
      <c r="Z89" s="8">
        <f t="shared" si="3"/>
        <v>26.362191725066332</v>
      </c>
      <c r="AA89" s="7">
        <v>24.004166018453855</v>
      </c>
      <c r="AB89" s="7">
        <v>27.146975589813092</v>
      </c>
      <c r="AC89" s="5">
        <v>1.6310000000000002</v>
      </c>
      <c r="AD89" s="4">
        <v>105.839</v>
      </c>
      <c r="AE89" s="5">
        <v>1.7690000000000055</v>
      </c>
      <c r="AF89" s="4">
        <v>95.096000000000004</v>
      </c>
      <c r="AG89" s="4">
        <v>200.935</v>
      </c>
      <c r="AH89" s="5">
        <v>3.4000000000000057</v>
      </c>
      <c r="AI89" s="9">
        <v>3.1363034740901705</v>
      </c>
      <c r="AJ89" s="9">
        <v>0.26369652590983517</v>
      </c>
      <c r="AK89" s="10">
        <v>20.289663601991798</v>
      </c>
      <c r="AL89" s="8">
        <f t="shared" si="4"/>
        <v>-0.37233026865846242</v>
      </c>
      <c r="AM89" s="9">
        <v>11.499779404997291</v>
      </c>
      <c r="AN89" s="9">
        <v>8.789884196994505</v>
      </c>
    </row>
    <row r="90" spans="1:40" x14ac:dyDescent="0.35">
      <c r="A90" s="3">
        <v>1992</v>
      </c>
      <c r="B90" s="3">
        <v>418.96600000000001</v>
      </c>
      <c r="C90" s="3">
        <v>362.02699999999999</v>
      </c>
      <c r="D90">
        <v>56.939</v>
      </c>
      <c r="E90" s="3">
        <v>168.51499999999999</v>
      </c>
      <c r="F90">
        <v>123.29499999999999</v>
      </c>
      <c r="G90">
        <v>45.22</v>
      </c>
      <c r="H90" s="3">
        <v>250.45100000000002</v>
      </c>
      <c r="I90" s="3">
        <v>5.0250000000000004</v>
      </c>
      <c r="J90" s="11">
        <v>18.425000000000001</v>
      </c>
      <c r="K90" s="3">
        <v>16.041000000000032</v>
      </c>
      <c r="L90" s="3">
        <v>4.101</v>
      </c>
      <c r="M90" s="3">
        <v>680.97900000000004</v>
      </c>
      <c r="N90">
        <v>21.066000000000031</v>
      </c>
      <c r="O90" s="7">
        <v>77.242000000000104</v>
      </c>
      <c r="P90" s="3">
        <v>249.196</v>
      </c>
      <c r="Q90" s="3">
        <v>1.5100000000000051</v>
      </c>
      <c r="R90">
        <v>107.349</v>
      </c>
      <c r="S90" s="3">
        <v>5.9199999999999875</v>
      </c>
      <c r="T90" s="3">
        <v>154.66399999999999</v>
      </c>
      <c r="U90" s="3">
        <v>262.01299999999998</v>
      </c>
      <c r="V90" s="7">
        <v>7.4299999999999926</v>
      </c>
      <c r="W90" s="7">
        <v>6.6464505969820866</v>
      </c>
      <c r="X90" s="7">
        <v>0.78354940301790577</v>
      </c>
      <c r="Y90" s="8">
        <v>50.488632289531175</v>
      </c>
      <c r="Z90" s="8">
        <f t="shared" si="3"/>
        <v>26.753367710468929</v>
      </c>
      <c r="AA90" s="7">
        <v>24.370318855600985</v>
      </c>
      <c r="AB90" s="7">
        <v>26.11831343393019</v>
      </c>
      <c r="AC90" s="5">
        <v>1.5100000000000051</v>
      </c>
      <c r="AD90" s="4">
        <v>107.349</v>
      </c>
      <c r="AE90" s="5">
        <v>1.7680000000000007</v>
      </c>
      <c r="AF90" s="4">
        <v>96.864000000000004</v>
      </c>
      <c r="AG90" s="4">
        <v>204.21299999999999</v>
      </c>
      <c r="AH90" s="5">
        <v>3.2779999999999916</v>
      </c>
      <c r="AI90" s="9">
        <v>3.0324713333524609</v>
      </c>
      <c r="AJ90" s="9">
        <v>0.24552866664754491</v>
      </c>
      <c r="AK90" s="10">
        <v>19.303350443877186</v>
      </c>
      <c r="AL90" s="8">
        <f t="shared" si="4"/>
        <v>-0.87835044387718497</v>
      </c>
      <c r="AM90" s="9">
        <v>11.119061555625688</v>
      </c>
      <c r="AN90" s="9">
        <v>8.1842888882514959</v>
      </c>
    </row>
    <row r="91" spans="1:40" x14ac:dyDescent="0.35">
      <c r="A91" s="3">
        <v>1993</v>
      </c>
      <c r="B91" s="3">
        <v>433.22800000000001</v>
      </c>
      <c r="C91" s="3">
        <v>374.09000000000003</v>
      </c>
      <c r="D91">
        <v>59.137999999999998</v>
      </c>
      <c r="E91" s="3">
        <v>170.477</v>
      </c>
      <c r="F91">
        <v>124.87700000000001</v>
      </c>
      <c r="G91">
        <v>45.6</v>
      </c>
      <c r="H91" s="3">
        <v>262.75099999999998</v>
      </c>
      <c r="I91" s="3">
        <v>4.7809999999999997</v>
      </c>
      <c r="J91" s="11">
        <v>17.530333333333331</v>
      </c>
      <c r="K91" s="3">
        <v>16.293999999999933</v>
      </c>
      <c r="L91" s="3">
        <v>4.0510000000000002</v>
      </c>
      <c r="M91" s="3">
        <v>702.37100000000009</v>
      </c>
      <c r="N91">
        <v>21.074999999999932</v>
      </c>
      <c r="O91" s="7">
        <v>77.27499999999975</v>
      </c>
      <c r="P91" s="3">
        <v>256.00799999999998</v>
      </c>
      <c r="Q91" s="3">
        <v>1.0609999999999928</v>
      </c>
      <c r="R91">
        <v>108.41</v>
      </c>
      <c r="S91" s="3">
        <v>6.0690000000000168</v>
      </c>
      <c r="T91" s="3">
        <v>160.733</v>
      </c>
      <c r="U91" s="3">
        <v>269.14300000000003</v>
      </c>
      <c r="V91" s="7">
        <v>7.1300000000000097</v>
      </c>
      <c r="W91" s="7">
        <v>6.3789331617398597</v>
      </c>
      <c r="X91" s="7">
        <v>0.75106683826015019</v>
      </c>
      <c r="Y91" s="8">
        <v>48.42498286838449</v>
      </c>
      <c r="Z91" s="8">
        <f t="shared" si="3"/>
        <v>28.85001713161526</v>
      </c>
      <c r="AA91" s="7">
        <v>23.389421593046151</v>
      </c>
      <c r="AB91" s="7">
        <v>25.035561275338338</v>
      </c>
      <c r="AC91" s="5">
        <v>1.0609999999999928</v>
      </c>
      <c r="AD91" s="4">
        <v>108.41</v>
      </c>
      <c r="AE91" s="5">
        <v>1.7569999999999908</v>
      </c>
      <c r="AF91" s="4">
        <v>98.620999999999995</v>
      </c>
      <c r="AG91" s="4">
        <v>207.03100000000001</v>
      </c>
      <c r="AH91" s="5">
        <v>2.8180000000000121</v>
      </c>
      <c r="AI91" s="9">
        <v>2.59236114169311</v>
      </c>
      <c r="AJ91" s="9">
        <v>0.2256388583068738</v>
      </c>
      <c r="AK91" s="10">
        <v>17.026619463103863</v>
      </c>
      <c r="AL91" s="8">
        <f t="shared" si="4"/>
        <v>0.50371387022946834</v>
      </c>
      <c r="AM91" s="9">
        <v>9.5053241862080693</v>
      </c>
      <c r="AN91" s="9">
        <v>7.5212952768957928</v>
      </c>
    </row>
    <row r="92" spans="1:40" x14ac:dyDescent="0.35">
      <c r="A92" s="3">
        <v>1994</v>
      </c>
      <c r="B92" s="3">
        <v>446.935</v>
      </c>
      <c r="C92" s="3">
        <v>385.53100000000001</v>
      </c>
      <c r="D92">
        <v>61.404000000000003</v>
      </c>
      <c r="E92" s="3">
        <v>172.18100000000001</v>
      </c>
      <c r="F92">
        <v>126.19800000000001</v>
      </c>
      <c r="G92">
        <v>45.982999999999997</v>
      </c>
      <c r="H92" s="3">
        <v>274.75400000000002</v>
      </c>
      <c r="I92" s="3">
        <v>4.4400000000000004</v>
      </c>
      <c r="J92" s="11">
        <v>16.28</v>
      </c>
      <c r="K92" s="3">
        <v>16.778000000000073</v>
      </c>
      <c r="L92" s="3">
        <v>4.2480000000000002</v>
      </c>
      <c r="M92" s="3">
        <v>723.33400000000006</v>
      </c>
      <c r="N92">
        <v>21.218000000000075</v>
      </c>
      <c r="O92" s="7">
        <v>77.799333333333607</v>
      </c>
      <c r="P92" s="3">
        <v>263.52</v>
      </c>
      <c r="Q92" s="3">
        <v>0.98600000000000421</v>
      </c>
      <c r="R92">
        <v>109.396</v>
      </c>
      <c r="S92" s="3">
        <v>6.2699999999999818</v>
      </c>
      <c r="T92" s="3">
        <v>167.00299999999999</v>
      </c>
      <c r="U92" s="3">
        <v>276.399</v>
      </c>
      <c r="V92" s="7">
        <v>7.255999999999986</v>
      </c>
      <c r="W92" s="7">
        <v>6.564824080786865</v>
      </c>
      <c r="X92" s="7">
        <v>0.69117591921312149</v>
      </c>
      <c r="Y92" s="8">
        <v>47.110218936655883</v>
      </c>
      <c r="Z92" s="8">
        <f t="shared" si="3"/>
        <v>30.689114396677724</v>
      </c>
      <c r="AA92" s="7">
        <v>24.071021629551836</v>
      </c>
      <c r="AB92" s="7">
        <v>23.039197307104047</v>
      </c>
      <c r="AC92" s="5">
        <v>0.98600000000000421</v>
      </c>
      <c r="AD92" s="4">
        <v>109.396</v>
      </c>
      <c r="AE92" s="5">
        <v>1.7510000000000048</v>
      </c>
      <c r="AF92" s="4">
        <v>100.372</v>
      </c>
      <c r="AG92" s="4">
        <v>209.768</v>
      </c>
      <c r="AH92" s="5">
        <v>2.7369999999999948</v>
      </c>
      <c r="AI92" s="9">
        <v>2.5362458005130031</v>
      </c>
      <c r="AJ92" s="9">
        <v>0.2007541994870059</v>
      </c>
      <c r="AK92" s="10">
        <v>15.991374584781209</v>
      </c>
      <c r="AL92" s="8">
        <f t="shared" si="4"/>
        <v>0.28862541521879237</v>
      </c>
      <c r="AM92" s="9">
        <v>9.2995679352143448</v>
      </c>
      <c r="AN92" s="9">
        <v>6.6918066495668631</v>
      </c>
    </row>
    <row r="93" spans="1:40" x14ac:dyDescent="0.35">
      <c r="A93" s="3">
        <v>1995</v>
      </c>
      <c r="B93" s="3">
        <v>460.78800000000001</v>
      </c>
      <c r="C93" s="3">
        <v>396.79700000000003</v>
      </c>
      <c r="D93">
        <v>63.991</v>
      </c>
      <c r="E93" s="3">
        <v>173.261</v>
      </c>
      <c r="F93">
        <v>126.857</v>
      </c>
      <c r="G93">
        <v>46.404000000000003</v>
      </c>
      <c r="H93" s="3">
        <v>287.52700000000004</v>
      </c>
      <c r="I93" s="3">
        <v>3.97</v>
      </c>
      <c r="J93" s="11">
        <v>14.556666666666667</v>
      </c>
      <c r="K93" s="3">
        <v>17.342000000000013</v>
      </c>
      <c r="L93" s="3">
        <v>4.67</v>
      </c>
      <c r="M93" s="3">
        <v>744.86500000000001</v>
      </c>
      <c r="N93">
        <v>21.312000000000012</v>
      </c>
      <c r="O93" s="7">
        <v>78.144000000000034</v>
      </c>
      <c r="P93" s="3">
        <v>270.97899999999998</v>
      </c>
      <c r="Q93" s="3">
        <v>1.1470000000000056</v>
      </c>
      <c r="R93">
        <v>110.54300000000001</v>
      </c>
      <c r="S93" s="3">
        <v>6.5310000000000059</v>
      </c>
      <c r="T93" s="3">
        <v>173.53399999999999</v>
      </c>
      <c r="U93" s="3">
        <v>284.077</v>
      </c>
      <c r="V93" s="7">
        <v>7.6780000000000115</v>
      </c>
      <c r="W93" s="7">
        <v>6.9945186694497901</v>
      </c>
      <c r="X93" s="7">
        <v>0.68348133055022164</v>
      </c>
      <c r="Y93" s="8">
        <v>48.429279472989947</v>
      </c>
      <c r="Z93" s="8">
        <f t="shared" si="3"/>
        <v>29.714720527010087</v>
      </c>
      <c r="AA93" s="7">
        <v>25.646568454649227</v>
      </c>
      <c r="AB93" s="7">
        <v>22.78271101834072</v>
      </c>
      <c r="AC93" s="5">
        <v>1.1470000000000056</v>
      </c>
      <c r="AD93" s="4">
        <v>110.54300000000001</v>
      </c>
      <c r="AE93" s="5">
        <v>1.7439999999999998</v>
      </c>
      <c r="AF93" s="4">
        <v>102.116</v>
      </c>
      <c r="AG93" s="4">
        <v>212.65899999999999</v>
      </c>
      <c r="AH93" s="5">
        <v>2.8909999999999911</v>
      </c>
      <c r="AI93" s="9">
        <v>2.6993399365023594</v>
      </c>
      <c r="AJ93" s="9">
        <v>0.19166006349764575</v>
      </c>
      <c r="AK93" s="10">
        <v>16.286248550430177</v>
      </c>
      <c r="AL93" s="8">
        <f t="shared" si="4"/>
        <v>-1.72958188376351</v>
      </c>
      <c r="AM93" s="9">
        <v>9.8975797671753192</v>
      </c>
      <c r="AN93" s="9">
        <v>6.3886687832548574</v>
      </c>
    </row>
    <row r="94" spans="1:40" x14ac:dyDescent="0.35">
      <c r="A94" s="3">
        <v>1996</v>
      </c>
      <c r="B94" s="3">
        <v>474.23599999999999</v>
      </c>
      <c r="C94" s="3">
        <v>407.68899999999996</v>
      </c>
      <c r="D94">
        <v>66.546999999999997</v>
      </c>
      <c r="E94" s="3">
        <v>174.34899999999999</v>
      </c>
      <c r="F94">
        <v>127.53799999999998</v>
      </c>
      <c r="G94">
        <v>46.811</v>
      </c>
      <c r="H94" s="3">
        <v>299.887</v>
      </c>
      <c r="I94" s="3">
        <v>3.952</v>
      </c>
      <c r="J94" s="11">
        <v>14.490666666666666</v>
      </c>
      <c r="K94" s="3">
        <v>17.019000000000005</v>
      </c>
      <c r="L94" s="3">
        <v>4.5330000000000004</v>
      </c>
      <c r="M94" s="3">
        <v>766.12699999999995</v>
      </c>
      <c r="N94">
        <v>20.971000000000004</v>
      </c>
      <c r="O94" s="7">
        <v>76.893666666666675</v>
      </c>
      <c r="P94" s="3">
        <v>278.50200000000001</v>
      </c>
      <c r="Q94" s="3">
        <v>1.1409999999999911</v>
      </c>
      <c r="R94">
        <v>111.684</v>
      </c>
      <c r="S94" s="3">
        <v>6.6730000000000018</v>
      </c>
      <c r="T94" s="3">
        <v>180.20699999999999</v>
      </c>
      <c r="U94" s="3">
        <v>291.89099999999996</v>
      </c>
      <c r="V94" s="7">
        <v>7.813999999999993</v>
      </c>
      <c r="W94" s="7">
        <v>7.1214490525661747</v>
      </c>
      <c r="X94" s="7">
        <v>0.69255094743381806</v>
      </c>
      <c r="Y94" s="8">
        <v>49.197011440536571</v>
      </c>
      <c r="Z94" s="8">
        <f t="shared" si="3"/>
        <v>27.696655226130105</v>
      </c>
      <c r="AA94" s="7">
        <v>26.111979859409306</v>
      </c>
      <c r="AB94" s="7">
        <v>23.085031581127268</v>
      </c>
      <c r="AC94" s="5">
        <v>1.1409999999999911</v>
      </c>
      <c r="AD94" s="4">
        <v>111.684</v>
      </c>
      <c r="AE94" s="5">
        <v>1.7210000000000036</v>
      </c>
      <c r="AF94" s="4">
        <v>103.837</v>
      </c>
      <c r="AG94" s="4">
        <v>215.52099999999999</v>
      </c>
      <c r="AH94" s="5">
        <v>2.8619999999999948</v>
      </c>
      <c r="AI94" s="9">
        <v>2.6741749598238487</v>
      </c>
      <c r="AJ94" s="9">
        <v>0.18782504017614632</v>
      </c>
      <c r="AK94" s="10">
        <v>16.066142858558987</v>
      </c>
      <c r="AL94" s="8">
        <f t="shared" si="4"/>
        <v>-1.5754761918923208</v>
      </c>
      <c r="AM94" s="9">
        <v>9.8053081860207776</v>
      </c>
      <c r="AN94" s="9">
        <v>6.26083467253821</v>
      </c>
    </row>
    <row r="95" spans="1:40" x14ac:dyDescent="0.35">
      <c r="A95" s="3">
        <v>1997</v>
      </c>
      <c r="B95" s="3">
        <v>488.32600000000002</v>
      </c>
      <c r="C95" s="3">
        <v>419.226</v>
      </c>
      <c r="D95">
        <v>69.099999999999994</v>
      </c>
      <c r="E95" s="3">
        <v>175.61500000000001</v>
      </c>
      <c r="F95">
        <v>128.357</v>
      </c>
      <c r="G95">
        <v>47.258000000000003</v>
      </c>
      <c r="H95" s="3">
        <v>312.71100000000001</v>
      </c>
      <c r="I95" s="3">
        <v>4.1630000000000003</v>
      </c>
      <c r="J95" s="11">
        <v>15.264333333333333</v>
      </c>
      <c r="K95" s="3">
        <v>17.566999999999904</v>
      </c>
      <c r="L95" s="3">
        <v>4.4450000000000003</v>
      </c>
      <c r="M95" s="3">
        <v>788.21399999999994</v>
      </c>
      <c r="N95">
        <v>21.729999999999905</v>
      </c>
      <c r="O95" s="7">
        <v>79.676666666666307</v>
      </c>
      <c r="P95" s="3">
        <v>286.142</v>
      </c>
      <c r="Q95" s="3">
        <v>1.203000000000003</v>
      </c>
      <c r="R95">
        <v>112.887</v>
      </c>
      <c r="S95" s="3">
        <v>6.7940000000000111</v>
      </c>
      <c r="T95" s="3">
        <v>187.001</v>
      </c>
      <c r="U95" s="3">
        <v>299.88800000000003</v>
      </c>
      <c r="V95" s="7">
        <v>7.9970000000000141</v>
      </c>
      <c r="W95" s="7">
        <v>7.2976030040977031</v>
      </c>
      <c r="X95" s="7">
        <v>0.69939699590231097</v>
      </c>
      <c r="Y95" s="8">
        <v>50.071110878435277</v>
      </c>
      <c r="Z95" s="8">
        <f t="shared" si="3"/>
        <v>29.60555578823103</v>
      </c>
      <c r="AA95" s="7">
        <v>26.757877681691575</v>
      </c>
      <c r="AB95" s="7">
        <v>23.313233196743699</v>
      </c>
      <c r="AC95" s="5">
        <v>1.203000000000003</v>
      </c>
      <c r="AD95" s="4">
        <v>112.887</v>
      </c>
      <c r="AE95" s="5">
        <v>1.6949999999999932</v>
      </c>
      <c r="AF95" s="4">
        <v>105.532</v>
      </c>
      <c r="AG95" s="4">
        <v>218.41900000000001</v>
      </c>
      <c r="AH95" s="5">
        <v>2.8980000000000246</v>
      </c>
      <c r="AI95" s="9">
        <v>2.7136875441612625</v>
      </c>
      <c r="AJ95" s="9">
        <v>0.18431245583873368</v>
      </c>
      <c r="AK95" s="10">
        <v>16.093936189882417</v>
      </c>
      <c r="AL95" s="8">
        <f t="shared" si="4"/>
        <v>-0.82960285654908361</v>
      </c>
      <c r="AM95" s="9">
        <v>9.9501876619246286</v>
      </c>
      <c r="AN95" s="9">
        <v>6.143748527957789</v>
      </c>
    </row>
    <row r="96" spans="1:40" x14ac:dyDescent="0.35">
      <c r="A96" s="3">
        <v>1998</v>
      </c>
      <c r="B96" s="3">
        <v>502.38900000000001</v>
      </c>
      <c r="C96" s="3">
        <v>430.71100000000001</v>
      </c>
      <c r="D96">
        <v>71.677999999999997</v>
      </c>
      <c r="E96" s="3">
        <v>176.55699999999999</v>
      </c>
      <c r="F96">
        <v>128.91999999999999</v>
      </c>
      <c r="G96">
        <v>47.637</v>
      </c>
      <c r="H96" s="3">
        <v>325.83199999999999</v>
      </c>
      <c r="I96" s="3">
        <v>3.6589999999999998</v>
      </c>
      <c r="J96" s="11">
        <v>13.416333333333332</v>
      </c>
      <c r="K96" s="3">
        <v>18.167999999999999</v>
      </c>
      <c r="L96" s="3">
        <v>4.4550000000000001</v>
      </c>
      <c r="M96" s="3">
        <v>810.23399999999992</v>
      </c>
      <c r="N96">
        <v>21.826999999999998</v>
      </c>
      <c r="O96" s="7">
        <v>80.032333333333327</v>
      </c>
      <c r="P96" s="3">
        <v>293.90600000000001</v>
      </c>
      <c r="Q96" s="3">
        <v>1.0570000000000022</v>
      </c>
      <c r="R96">
        <v>113.944</v>
      </c>
      <c r="S96" s="3">
        <v>6.9000000000000057</v>
      </c>
      <c r="T96" s="3">
        <v>193.90100000000001</v>
      </c>
      <c r="U96" s="3">
        <v>307.84500000000003</v>
      </c>
      <c r="V96" s="7">
        <v>7.9570000000000078</v>
      </c>
      <c r="W96" s="7">
        <v>7.255185216944934</v>
      </c>
      <c r="X96" s="7">
        <v>0.70181478305507361</v>
      </c>
      <c r="Y96" s="8">
        <v>49.996171897300542</v>
      </c>
      <c r="Z96" s="8">
        <f t="shared" si="3"/>
        <v>30.036161436032785</v>
      </c>
      <c r="AA96" s="7">
        <v>26.60234579546476</v>
      </c>
      <c r="AB96" s="7">
        <v>23.393826101835785</v>
      </c>
      <c r="AC96" s="5">
        <v>1.0570000000000022</v>
      </c>
      <c r="AD96" s="4">
        <v>113.944</v>
      </c>
      <c r="AE96" s="5">
        <v>1.6599999999999966</v>
      </c>
      <c r="AF96" s="4">
        <v>107.19199999999999</v>
      </c>
      <c r="AG96" s="4">
        <v>221.136</v>
      </c>
      <c r="AH96" s="5">
        <v>2.7169999999999845</v>
      </c>
      <c r="AI96" s="9">
        <v>2.5394238940050728</v>
      </c>
      <c r="AJ96" s="9">
        <v>0.17757610599492613</v>
      </c>
      <c r="AK96" s="10">
        <v>15.23042447784947</v>
      </c>
      <c r="AL96" s="8">
        <f t="shared" si="4"/>
        <v>-1.8140911445161372</v>
      </c>
      <c r="AM96" s="9">
        <v>9.3112209446852656</v>
      </c>
      <c r="AN96" s="9">
        <v>5.9192035331642039</v>
      </c>
    </row>
    <row r="97" spans="1:40" s="2" customFormat="1" x14ac:dyDescent="0.35">
      <c r="A97" s="3">
        <v>1999</v>
      </c>
      <c r="B97" s="3">
        <v>516.49300000000005</v>
      </c>
      <c r="C97" s="3">
        <v>442.21200000000005</v>
      </c>
      <c r="D97">
        <v>74.281000000000006</v>
      </c>
      <c r="E97" s="3">
        <v>177.58099999999999</v>
      </c>
      <c r="F97">
        <v>129.50199999999998</v>
      </c>
      <c r="G97">
        <v>48.079000000000001</v>
      </c>
      <c r="H97" s="3">
        <v>338.91200000000003</v>
      </c>
      <c r="I97" s="3">
        <v>3.7250000000000001</v>
      </c>
      <c r="J97" s="11">
        <v>13.658333333333333</v>
      </c>
      <c r="K97" s="3">
        <v>18.140999999999984</v>
      </c>
      <c r="L97" s="3">
        <v>4.4720000000000004</v>
      </c>
      <c r="M97" s="3">
        <v>832.39400000000001</v>
      </c>
      <c r="N97">
        <v>21.865999999999985</v>
      </c>
      <c r="O97" s="7">
        <v>80.175333333333271</v>
      </c>
      <c r="P97" s="3">
        <v>301.66800000000001</v>
      </c>
      <c r="Q97" s="3">
        <v>1.0759999999999934</v>
      </c>
      <c r="R97">
        <v>115.02</v>
      </c>
      <c r="S97" s="3">
        <v>6.9799999999999898</v>
      </c>
      <c r="T97" s="3">
        <v>200.881</v>
      </c>
      <c r="U97" s="3">
        <v>315.90100000000001</v>
      </c>
      <c r="V97" s="7">
        <v>8.0559999999999832</v>
      </c>
      <c r="W97" s="7">
        <v>7.3909976896711234</v>
      </c>
      <c r="X97" s="7">
        <v>0.66500231032885959</v>
      </c>
      <c r="Y97" s="8">
        <v>49.267068539756103</v>
      </c>
      <c r="Z97" s="8">
        <f t="shared" si="3"/>
        <v>30.908264793577167</v>
      </c>
      <c r="AA97" s="7">
        <v>27.100324862127451</v>
      </c>
      <c r="AB97" s="7">
        <v>22.166743677628652</v>
      </c>
      <c r="AC97" s="5">
        <v>1.0759999999999934</v>
      </c>
      <c r="AD97" s="4">
        <v>115.02</v>
      </c>
      <c r="AE97" s="5">
        <v>1.6240000000000094</v>
      </c>
      <c r="AF97" s="4">
        <v>108.816</v>
      </c>
      <c r="AG97" s="4">
        <v>223.83600000000001</v>
      </c>
      <c r="AH97" s="5">
        <v>2.7000000000000171</v>
      </c>
      <c r="AI97" s="9">
        <v>2.5362940364804105</v>
      </c>
      <c r="AJ97" s="9">
        <v>0.16370596351959255</v>
      </c>
      <c r="AK97" s="10">
        <v>14.756610251081256</v>
      </c>
      <c r="AL97" s="8">
        <f t="shared" si="4"/>
        <v>-1.0982769177479224</v>
      </c>
      <c r="AM97" s="9">
        <v>9.2997448004281704</v>
      </c>
      <c r="AN97" s="9">
        <v>5.4568654506530843</v>
      </c>
    </row>
    <row r="98" spans="1:40" x14ac:dyDescent="0.35">
      <c r="A98" s="3">
        <v>2000</v>
      </c>
      <c r="B98" s="3">
        <v>530.08500000000004</v>
      </c>
      <c r="C98" s="3">
        <v>453.35500000000002</v>
      </c>
      <c r="D98">
        <v>76.73</v>
      </c>
      <c r="E98" s="3">
        <v>178.37299999999999</v>
      </c>
      <c r="F98">
        <v>129.904</v>
      </c>
      <c r="G98">
        <v>48.469000000000001</v>
      </c>
      <c r="H98" s="3">
        <v>351.71200000000005</v>
      </c>
      <c r="I98" s="3">
        <v>3.3079999999999998</v>
      </c>
      <c r="J98" s="11">
        <v>12.129333333333332</v>
      </c>
      <c r="K98" s="3">
        <v>18.145000000000088</v>
      </c>
      <c r="L98" s="3">
        <v>4.1619999999999999</v>
      </c>
      <c r="M98" s="3">
        <v>853.8610000000001</v>
      </c>
      <c r="N98">
        <v>21.453000000000088</v>
      </c>
      <c r="O98" s="7">
        <v>78.661000000000314</v>
      </c>
      <c r="P98" s="3">
        <v>309.529</v>
      </c>
      <c r="Q98" s="3">
        <v>0.95600000000000307</v>
      </c>
      <c r="R98">
        <v>115.976</v>
      </c>
      <c r="S98" s="3">
        <v>6.9190000000000111</v>
      </c>
      <c r="T98" s="3">
        <v>207.8</v>
      </c>
      <c r="U98" s="3">
        <v>323.77600000000001</v>
      </c>
      <c r="V98" s="7">
        <v>7.8750000000000142</v>
      </c>
      <c r="W98" s="7">
        <v>7.2278513417667725</v>
      </c>
      <c r="X98" s="7">
        <v>0.64714865823324208</v>
      </c>
      <c r="Y98" s="8">
        <v>48.073743527586231</v>
      </c>
      <c r="Z98" s="8">
        <f t="shared" si="3"/>
        <v>30.587256472414083</v>
      </c>
      <c r="AA98" s="7">
        <v>26.502121586478165</v>
      </c>
      <c r="AB98" s="7">
        <v>21.57162194110807</v>
      </c>
      <c r="AC98" s="5">
        <v>0.95600000000000307</v>
      </c>
      <c r="AD98" s="4">
        <v>115.976</v>
      </c>
      <c r="AE98" s="5">
        <v>1.5609999999999928</v>
      </c>
      <c r="AF98" s="4">
        <v>110.377</v>
      </c>
      <c r="AG98" s="4">
        <v>226.35300000000001</v>
      </c>
      <c r="AH98" s="5">
        <v>2.5169999999999959</v>
      </c>
      <c r="AI98" s="9">
        <v>2.3629415038260824</v>
      </c>
      <c r="AJ98" s="9">
        <v>0.15405849617391365</v>
      </c>
      <c r="AK98" s="10">
        <v>13.799402053159422</v>
      </c>
      <c r="AL98" s="8">
        <f t="shared" si="4"/>
        <v>-1.6700687198260908</v>
      </c>
      <c r="AM98" s="9">
        <v>8.6641188473623014</v>
      </c>
      <c r="AN98" s="9">
        <v>5.1352832057971209</v>
      </c>
    </row>
    <row r="99" spans="1:40" x14ac:dyDescent="0.35">
      <c r="A99" s="3">
        <v>2001</v>
      </c>
      <c r="B99" s="3">
        <v>532.04899999999998</v>
      </c>
      <c r="C99" s="3">
        <v>453.15099999999995</v>
      </c>
      <c r="D99">
        <v>78.897999999999996</v>
      </c>
      <c r="E99" s="3">
        <v>178.584</v>
      </c>
      <c r="F99">
        <v>129.70099999999999</v>
      </c>
      <c r="G99">
        <v>48.883000000000003</v>
      </c>
      <c r="H99" s="3">
        <v>353.46499999999997</v>
      </c>
      <c r="I99" s="3">
        <v>2.7879999999999998</v>
      </c>
      <c r="J99" s="11">
        <v>10.222666666666665</v>
      </c>
      <c r="K99" s="3">
        <v>20.996999999999968</v>
      </c>
      <c r="L99" s="3">
        <v>3.8820000000000001</v>
      </c>
      <c r="M99" s="3">
        <v>863.85699999999997</v>
      </c>
      <c r="N99">
        <v>23.784999999999968</v>
      </c>
      <c r="O99" s="7">
        <v>87.211666666666545</v>
      </c>
      <c r="P99" s="3">
        <v>331.35</v>
      </c>
      <c r="Q99" s="3">
        <v>1.0319999999999965</v>
      </c>
      <c r="R99">
        <v>117.008</v>
      </c>
      <c r="S99" s="3">
        <v>7</v>
      </c>
      <c r="T99" s="3">
        <v>214.8</v>
      </c>
      <c r="U99" s="3">
        <v>331.80799999999999</v>
      </c>
      <c r="V99" s="7">
        <v>8.0319999999999965</v>
      </c>
      <c r="W99" s="7">
        <v>7.399809323708693</v>
      </c>
      <c r="X99" s="7">
        <v>0.63219067629130299</v>
      </c>
      <c r="Y99" s="8">
        <v>48.205656729975303</v>
      </c>
      <c r="Z99" s="8">
        <f t="shared" si="3"/>
        <v>39.006009936691243</v>
      </c>
      <c r="AA99" s="7">
        <v>27.132634186931874</v>
      </c>
      <c r="AB99" s="7">
        <v>21.073022543043429</v>
      </c>
      <c r="AC99" s="5">
        <v>1.0319999999999965</v>
      </c>
      <c r="AD99" s="4">
        <v>117.008</v>
      </c>
      <c r="AE99" s="5">
        <v>1.5440000000000111</v>
      </c>
      <c r="AF99" s="4">
        <v>111.92100000000001</v>
      </c>
      <c r="AG99" s="4">
        <v>228.929</v>
      </c>
      <c r="AH99" s="5">
        <v>2.5759999999999934</v>
      </c>
      <c r="AI99" s="9">
        <v>2.4278049960944106</v>
      </c>
      <c r="AJ99" s="9">
        <v>0.14819500390559726</v>
      </c>
      <c r="AK99" s="10">
        <v>13.841785115866077</v>
      </c>
      <c r="AL99" s="8">
        <f t="shared" si="4"/>
        <v>-3.6191184491994122</v>
      </c>
      <c r="AM99" s="9">
        <v>8.9019516523461704</v>
      </c>
      <c r="AN99" s="9">
        <v>4.9398334635199079</v>
      </c>
    </row>
    <row r="100" spans="1:40" x14ac:dyDescent="0.35">
      <c r="A100" s="3">
        <v>2002</v>
      </c>
      <c r="B100" s="3">
        <v>547.06500000000005</v>
      </c>
      <c r="C100" s="3">
        <v>466.04400000000004</v>
      </c>
      <c r="D100">
        <v>81.021000000000001</v>
      </c>
      <c r="E100" s="3">
        <v>178.93199999999999</v>
      </c>
      <c r="F100">
        <v>129.62</v>
      </c>
      <c r="G100">
        <v>49.311999999999998</v>
      </c>
      <c r="H100" s="3">
        <v>368.13300000000004</v>
      </c>
      <c r="I100" s="3">
        <v>2.927</v>
      </c>
      <c r="J100" s="11">
        <v>10.732333333333333</v>
      </c>
      <c r="K100" s="3">
        <v>19.72600000000002</v>
      </c>
      <c r="L100" s="3">
        <v>3.5910000000000002</v>
      </c>
      <c r="M100" s="3">
        <v>886.8130000000001</v>
      </c>
      <c r="N100">
        <v>22.65300000000002</v>
      </c>
      <c r="O100" s="7">
        <v>83.061000000000064</v>
      </c>
      <c r="P100" s="3">
        <v>338.98700000000002</v>
      </c>
      <c r="Q100" s="3">
        <v>1.0840000000000032</v>
      </c>
      <c r="R100">
        <v>118.092</v>
      </c>
      <c r="S100" s="3">
        <v>6.8559999999999945</v>
      </c>
      <c r="T100" s="3">
        <v>221.65600000000001</v>
      </c>
      <c r="U100" s="3">
        <v>339.74799999999999</v>
      </c>
      <c r="V100" s="7">
        <v>7.9399999999999977</v>
      </c>
      <c r="W100" s="7">
        <v>7.3022048435211904</v>
      </c>
      <c r="X100" s="7">
        <v>0.63779515647880713</v>
      </c>
      <c r="Y100" s="8">
        <v>48.034589642204601</v>
      </c>
      <c r="Z100" s="8">
        <f t="shared" si="3"/>
        <v>35.026410357795463</v>
      </c>
      <c r="AA100" s="7">
        <v>26.774751092911032</v>
      </c>
      <c r="AB100" s="7">
        <v>21.259838549293569</v>
      </c>
      <c r="AC100" s="5">
        <v>1.0840000000000032</v>
      </c>
      <c r="AD100" s="4">
        <v>118.092</v>
      </c>
      <c r="AE100" s="5">
        <v>1.4959999999999951</v>
      </c>
      <c r="AF100" s="4">
        <v>113.417</v>
      </c>
      <c r="AG100" s="4">
        <v>231.50899999999999</v>
      </c>
      <c r="AH100" s="5">
        <v>2.5799999999999841</v>
      </c>
      <c r="AI100" s="9">
        <v>2.4316104427742733</v>
      </c>
      <c r="AJ100" s="9">
        <v>0.14838955722572522</v>
      </c>
      <c r="AK100" s="10">
        <v>13.862223531029841</v>
      </c>
      <c r="AL100" s="8">
        <f t="shared" si="4"/>
        <v>-3.1298901976965077</v>
      </c>
      <c r="AM100" s="9">
        <v>8.9159049568390003</v>
      </c>
      <c r="AN100" s="9">
        <v>4.9463185741908404</v>
      </c>
    </row>
    <row r="101" spans="1:40" x14ac:dyDescent="0.35">
      <c r="A101" s="3">
        <v>2003</v>
      </c>
      <c r="B101" s="3">
        <v>562.02499999999998</v>
      </c>
      <c r="C101" s="3">
        <v>478.79599999999999</v>
      </c>
      <c r="D101">
        <v>83.228999999999999</v>
      </c>
      <c r="E101" s="3">
        <v>179.28700000000001</v>
      </c>
      <c r="F101">
        <v>129.58199999999999</v>
      </c>
      <c r="G101">
        <v>49.704999999999998</v>
      </c>
      <c r="H101" s="3">
        <v>382.73799999999994</v>
      </c>
      <c r="I101" s="3">
        <v>2.8849999999999998</v>
      </c>
      <c r="J101" s="11">
        <v>10.578333333333331</v>
      </c>
      <c r="K101" s="3">
        <v>19.830000000000034</v>
      </c>
      <c r="L101" s="3">
        <v>3.9430000000000001</v>
      </c>
      <c r="M101" s="3">
        <v>909.82599999999991</v>
      </c>
      <c r="N101">
        <v>22.715000000000032</v>
      </c>
      <c r="O101" s="7">
        <v>83.288333333333441</v>
      </c>
      <c r="P101" s="3">
        <v>346.74200000000002</v>
      </c>
      <c r="Q101" s="3">
        <v>1.0679999999999978</v>
      </c>
      <c r="R101">
        <v>119.16</v>
      </c>
      <c r="S101" s="3">
        <v>6.9849999999999852</v>
      </c>
      <c r="T101" s="3">
        <v>228.64099999999999</v>
      </c>
      <c r="U101" s="3">
        <v>347.80099999999999</v>
      </c>
      <c r="V101" s="7">
        <v>8.0529999999999831</v>
      </c>
      <c r="W101" s="7">
        <v>7.4086221808486474</v>
      </c>
      <c r="X101" s="7">
        <v>0.64437781915133541</v>
      </c>
      <c r="Y101" s="8">
        <v>48.644208634822888</v>
      </c>
      <c r="Z101" s="8">
        <f t="shared" si="3"/>
        <v>34.644124698510552</v>
      </c>
      <c r="AA101" s="7">
        <v>27.16494799644504</v>
      </c>
      <c r="AB101" s="7">
        <v>21.479260638377845</v>
      </c>
      <c r="AC101" s="5">
        <v>1.0679999999999978</v>
      </c>
      <c r="AD101" s="4">
        <v>119.16</v>
      </c>
      <c r="AE101" s="5">
        <v>1.4599999999999937</v>
      </c>
      <c r="AF101" s="4">
        <v>114.877</v>
      </c>
      <c r="AG101" s="4">
        <v>234.03700000000001</v>
      </c>
      <c r="AH101" s="5">
        <v>2.52800000000002</v>
      </c>
      <c r="AI101" s="9">
        <v>2.3841212455775906</v>
      </c>
      <c r="AJ101" s="9">
        <v>0.14387875442240117</v>
      </c>
      <c r="AK101" s="10">
        <v>13.53773638119787</v>
      </c>
      <c r="AL101" s="8">
        <f t="shared" si="4"/>
        <v>-2.959403047864539</v>
      </c>
      <c r="AM101" s="9">
        <v>8.7417779004511651</v>
      </c>
      <c r="AN101" s="9">
        <v>4.7959584807467053</v>
      </c>
    </row>
    <row r="102" spans="1:40" x14ac:dyDescent="0.35">
      <c r="A102" s="3">
        <v>2004</v>
      </c>
      <c r="B102" s="3">
        <v>577.58900000000006</v>
      </c>
      <c r="C102" s="3">
        <v>492.07400000000007</v>
      </c>
      <c r="D102">
        <v>85.515000000000001</v>
      </c>
      <c r="E102" s="3">
        <v>179.74199999999999</v>
      </c>
      <c r="F102">
        <v>129.61099999999999</v>
      </c>
      <c r="G102">
        <v>50.131</v>
      </c>
      <c r="H102" s="3">
        <v>397.84700000000009</v>
      </c>
      <c r="I102" s="3">
        <v>2.9849999999999999</v>
      </c>
      <c r="J102" s="11">
        <v>10.944999999999999</v>
      </c>
      <c r="K102" s="3">
        <v>20.630999999999986</v>
      </c>
      <c r="L102" s="3">
        <v>4.218</v>
      </c>
      <c r="M102" s="3">
        <v>933.72300000000007</v>
      </c>
      <c r="N102">
        <v>23.615999999999985</v>
      </c>
      <c r="O102" s="7">
        <v>86.591999999999942</v>
      </c>
      <c r="P102" s="3">
        <v>354.79399999999998</v>
      </c>
      <c r="Q102" s="3">
        <v>1.105000000000004</v>
      </c>
      <c r="R102">
        <v>120.265</v>
      </c>
      <c r="S102" s="3">
        <v>7.2280000000000086</v>
      </c>
      <c r="T102" s="3">
        <v>235.869</v>
      </c>
      <c r="U102" s="3">
        <v>356.13400000000001</v>
      </c>
      <c r="V102" s="7">
        <v>8.3330000000000126</v>
      </c>
      <c r="W102" s="7">
        <v>7.66846971907162</v>
      </c>
      <c r="X102" s="7">
        <v>0.66453028092839239</v>
      </c>
      <c r="Y102" s="8">
        <v>50.268731667542347</v>
      </c>
      <c r="Z102" s="8">
        <f t="shared" si="3"/>
        <v>36.323268332457594</v>
      </c>
      <c r="AA102" s="7">
        <v>28.117722303262603</v>
      </c>
      <c r="AB102" s="7">
        <v>22.151009364279744</v>
      </c>
      <c r="AC102" s="5">
        <v>1.105000000000004</v>
      </c>
      <c r="AD102" s="4">
        <v>120.265</v>
      </c>
      <c r="AE102" s="5">
        <v>1.4250000000000114</v>
      </c>
      <c r="AF102" s="4">
        <v>116.30200000000001</v>
      </c>
      <c r="AG102" s="4">
        <v>236.56700000000001</v>
      </c>
      <c r="AH102" s="5">
        <v>2.5300000000000011</v>
      </c>
      <c r="AI102" s="9">
        <v>2.3893354085310059</v>
      </c>
      <c r="AJ102" s="9">
        <v>0.14066459146900945</v>
      </c>
      <c r="AK102" s="10">
        <v>13.449716213580668</v>
      </c>
      <c r="AL102" s="8">
        <f t="shared" si="4"/>
        <v>-2.5047162135806698</v>
      </c>
      <c r="AM102" s="9">
        <v>8.7608964979470212</v>
      </c>
      <c r="AN102" s="9">
        <v>4.688819715633648</v>
      </c>
    </row>
    <row r="103" spans="1:40" x14ac:dyDescent="0.35">
      <c r="A103" s="3">
        <v>2005</v>
      </c>
      <c r="B103" s="3">
        <v>592.75900000000001</v>
      </c>
      <c r="C103" s="3">
        <v>504.85200000000003</v>
      </c>
      <c r="D103">
        <v>87.906999999999996</v>
      </c>
      <c r="E103" s="3">
        <v>180.25</v>
      </c>
      <c r="F103">
        <v>129.72499999999999</v>
      </c>
      <c r="G103">
        <v>50.524999999999999</v>
      </c>
      <c r="H103" s="3">
        <v>412.50900000000001</v>
      </c>
      <c r="I103" s="3">
        <v>3.0070000000000001</v>
      </c>
      <c r="J103" s="11">
        <v>11.025666666666666</v>
      </c>
      <c r="K103" s="3">
        <v>20.568999999999907</v>
      </c>
      <c r="L103" s="3">
        <v>4.4930000000000003</v>
      </c>
      <c r="M103" s="3">
        <v>957.55200000000002</v>
      </c>
      <c r="N103">
        <v>23.575999999999908</v>
      </c>
      <c r="O103" s="7">
        <v>86.445333333332997</v>
      </c>
      <c r="P103" s="3">
        <v>363.2</v>
      </c>
      <c r="Q103" s="3">
        <v>1.1140000000000043</v>
      </c>
      <c r="R103">
        <v>121.379</v>
      </c>
      <c r="S103" s="3">
        <v>7.5449999999999875</v>
      </c>
      <c r="T103" s="3">
        <v>243.41399999999999</v>
      </c>
      <c r="U103" s="3">
        <v>364.79300000000001</v>
      </c>
      <c r="V103" s="7">
        <v>8.6589999999999918</v>
      </c>
      <c r="W103" s="7">
        <v>7.9779544473601725</v>
      </c>
      <c r="X103" s="7">
        <v>0.68104555263981936</v>
      </c>
      <c r="Y103" s="8">
        <v>51.954018061647943</v>
      </c>
      <c r="Z103" s="8">
        <f t="shared" si="3"/>
        <v>34.491315271685053</v>
      </c>
      <c r="AA103" s="7">
        <v>29.252499640320632</v>
      </c>
      <c r="AB103" s="7">
        <v>22.701518421327311</v>
      </c>
      <c r="AC103" s="5">
        <v>1.1140000000000043</v>
      </c>
      <c r="AD103" s="4">
        <v>121.379</v>
      </c>
      <c r="AE103" s="5">
        <v>1.3859999999999957</v>
      </c>
      <c r="AF103" s="4">
        <v>117.688</v>
      </c>
      <c r="AG103" s="4">
        <v>239.06700000000001</v>
      </c>
      <c r="AH103" s="5">
        <v>2.5</v>
      </c>
      <c r="AI103" s="9">
        <v>2.3649992897931456</v>
      </c>
      <c r="AJ103" s="9">
        <v>0.13500071020685445</v>
      </c>
      <c r="AK103" s="10">
        <v>13.171687736136681</v>
      </c>
      <c r="AL103" s="8">
        <f t="shared" si="4"/>
        <v>-2.1460210694700148</v>
      </c>
      <c r="AM103" s="9">
        <v>8.671664062574866</v>
      </c>
      <c r="AN103" s="9">
        <v>4.5000236735618149</v>
      </c>
    </row>
    <row r="104" spans="1:40" x14ac:dyDescent="0.35">
      <c r="A104" s="3">
        <v>2006</v>
      </c>
      <c r="B104" s="3">
        <v>606.64400000000001</v>
      </c>
      <c r="C104" s="3">
        <v>516.39099999999996</v>
      </c>
      <c r="D104">
        <v>90.253</v>
      </c>
      <c r="E104" s="3">
        <v>180.68899999999999</v>
      </c>
      <c r="F104">
        <v>129.75200000000001</v>
      </c>
      <c r="G104">
        <v>50.936999999999998</v>
      </c>
      <c r="H104" s="3">
        <v>425.95500000000004</v>
      </c>
      <c r="I104" s="3">
        <v>2.8239999999999998</v>
      </c>
      <c r="J104" s="11">
        <v>10.354666666666665</v>
      </c>
      <c r="K104" s="3">
        <v>19.680000000000021</v>
      </c>
      <c r="L104" s="3">
        <v>4.46</v>
      </c>
      <c r="M104" s="3">
        <v>980.26800000000003</v>
      </c>
      <c r="N104">
        <v>22.504000000000019</v>
      </c>
      <c r="O104" s="7">
        <v>82.514666666666727</v>
      </c>
      <c r="P104" s="3">
        <v>371.81799999999998</v>
      </c>
      <c r="Q104" s="3">
        <v>1.0450000000000017</v>
      </c>
      <c r="R104">
        <v>122.42400000000001</v>
      </c>
      <c r="S104" s="3">
        <v>7.7860000000000014</v>
      </c>
      <c r="T104" s="3">
        <v>251.2</v>
      </c>
      <c r="U104" s="3">
        <v>373.62400000000002</v>
      </c>
      <c r="V104" s="7">
        <v>8.8310000000000031</v>
      </c>
      <c r="W104" s="7">
        <v>8.1334393856923057</v>
      </c>
      <c r="X104" s="7">
        <v>0.69756061430769689</v>
      </c>
      <c r="Y104" s="8">
        <v>53.074631557795016</v>
      </c>
      <c r="Z104" s="8">
        <f t="shared" si="3"/>
        <v>29.440035108871712</v>
      </c>
      <c r="AA104" s="7">
        <v>29.822611080871788</v>
      </c>
      <c r="AB104" s="7">
        <v>23.252020476923228</v>
      </c>
      <c r="AC104" s="5">
        <v>1.0450000000000017</v>
      </c>
      <c r="AD104" s="4">
        <v>122.42400000000001</v>
      </c>
      <c r="AE104" s="5">
        <v>1.3400000000000034</v>
      </c>
      <c r="AF104" s="4">
        <v>119.02800000000001</v>
      </c>
      <c r="AG104" s="4">
        <v>241.452</v>
      </c>
      <c r="AH104" s="5">
        <v>2.3849999999999909</v>
      </c>
      <c r="AI104" s="9">
        <v>2.2555340615384418</v>
      </c>
      <c r="AJ104" s="9">
        <v>0.12946593846156329</v>
      </c>
      <c r="AK104" s="10">
        <v>12.585822841026395</v>
      </c>
      <c r="AL104" s="8">
        <f t="shared" si="4"/>
        <v>-2.2311561743597306</v>
      </c>
      <c r="AM104" s="9">
        <v>8.2702915589742858</v>
      </c>
      <c r="AN104" s="9">
        <v>4.3155312820521097</v>
      </c>
    </row>
    <row r="105" spans="1:40" x14ac:dyDescent="0.35">
      <c r="A105" s="3">
        <v>2007</v>
      </c>
      <c r="B105" s="3">
        <v>619.88400000000001</v>
      </c>
      <c r="C105" s="3">
        <v>527.33000000000004</v>
      </c>
      <c r="D105">
        <v>92.554000000000002</v>
      </c>
      <c r="E105" s="3">
        <v>180.971</v>
      </c>
      <c r="F105">
        <v>129.589</v>
      </c>
      <c r="G105">
        <v>51.381999999999998</v>
      </c>
      <c r="H105" s="3">
        <v>438.91300000000001</v>
      </c>
      <c r="I105" s="3">
        <v>3.3180000000000001</v>
      </c>
      <c r="J105" s="11">
        <v>12.166</v>
      </c>
      <c r="K105" s="3">
        <v>19.547000000000008</v>
      </c>
      <c r="L105" s="3">
        <v>4.4240000000000004</v>
      </c>
      <c r="M105" s="3">
        <v>1003.39</v>
      </c>
      <c r="N105">
        <v>22.865000000000009</v>
      </c>
      <c r="O105" s="7">
        <v>83.838333333333367</v>
      </c>
      <c r="P105" s="3">
        <v>381.44400000000002</v>
      </c>
      <c r="Q105" s="3">
        <v>1.7319999999999993</v>
      </c>
      <c r="R105">
        <v>124.15600000000001</v>
      </c>
      <c r="S105" s="3">
        <v>8.1500000000000341</v>
      </c>
      <c r="T105" s="3">
        <v>259.35000000000002</v>
      </c>
      <c r="U105" s="3">
        <v>383.50600000000003</v>
      </c>
      <c r="V105" s="7">
        <v>9.8820000000000334</v>
      </c>
      <c r="W105" s="7">
        <v>9.1398438870982854</v>
      </c>
      <c r="X105" s="7">
        <v>0.74215611290174799</v>
      </c>
      <c r="Y105" s="8">
        <v>58.251298016085315</v>
      </c>
      <c r="Z105" s="8">
        <f t="shared" si="3"/>
        <v>25.587035317248052</v>
      </c>
      <c r="AA105" s="7">
        <v>33.512760919360382</v>
      </c>
      <c r="AB105" s="7">
        <v>24.738537096724929</v>
      </c>
      <c r="AC105" s="5">
        <v>1.7319999999999993</v>
      </c>
      <c r="AD105" s="4">
        <v>124.15600000000001</v>
      </c>
      <c r="AE105" s="5">
        <v>1.3039999999999878</v>
      </c>
      <c r="AF105" s="4">
        <v>120.33199999999999</v>
      </c>
      <c r="AG105" s="4">
        <v>244.488</v>
      </c>
      <c r="AH105" s="5">
        <v>3.0360000000000014</v>
      </c>
      <c r="AI105" s="9">
        <v>2.9014254670395667</v>
      </c>
      <c r="AJ105" s="9">
        <v>0.13457453296042021</v>
      </c>
      <c r="AK105" s="10">
        <v>15.124377811159086</v>
      </c>
      <c r="AL105" s="8">
        <f t="shared" si="4"/>
        <v>-2.9583778111590853</v>
      </c>
      <c r="AM105" s="9">
        <v>10.638560045811746</v>
      </c>
      <c r="AN105" s="9">
        <v>4.4858177653473401</v>
      </c>
    </row>
    <row r="106" spans="1:40" x14ac:dyDescent="0.35">
      <c r="A106" s="3">
        <v>2008</v>
      </c>
      <c r="B106" s="3">
        <v>630.38199999999995</v>
      </c>
      <c r="C106" s="3">
        <v>535.65699999999993</v>
      </c>
      <c r="D106">
        <v>94.724999999999994</v>
      </c>
      <c r="E106" s="3">
        <v>181.047</v>
      </c>
      <c r="F106">
        <v>129.28299999999999</v>
      </c>
      <c r="G106">
        <v>51.764000000000003</v>
      </c>
      <c r="H106" s="3">
        <v>449.33499999999992</v>
      </c>
      <c r="I106" s="3">
        <v>2.7970000000000002</v>
      </c>
      <c r="J106" s="11">
        <v>10.255666666666666</v>
      </c>
      <c r="K106" s="3">
        <v>17.308000000000018</v>
      </c>
      <c r="L106" s="3">
        <v>4.2930000000000001</v>
      </c>
      <c r="M106" s="3">
        <v>1023.7369999999999</v>
      </c>
      <c r="N106">
        <v>20.105000000000018</v>
      </c>
      <c r="O106" s="7">
        <v>73.718333333333391</v>
      </c>
      <c r="P106" s="3">
        <v>391.05099999999999</v>
      </c>
      <c r="Q106" s="3">
        <v>1.4599999999999937</v>
      </c>
      <c r="R106">
        <v>125.616</v>
      </c>
      <c r="S106" s="3">
        <v>8.3889999999999532</v>
      </c>
      <c r="T106" s="3">
        <v>267.73899999999998</v>
      </c>
      <c r="U106" s="3">
        <v>393.35499999999996</v>
      </c>
      <c r="V106" s="7">
        <v>9.8489999999999469</v>
      </c>
      <c r="W106" s="7">
        <v>9.0888120565642314</v>
      </c>
      <c r="X106" s="7">
        <v>0.7601879434357155</v>
      </c>
      <c r="Y106" s="8">
        <v>58.66524232192603</v>
      </c>
      <c r="Z106" s="8">
        <f t="shared" si="3"/>
        <v>15.053091011407361</v>
      </c>
      <c r="AA106" s="7">
        <v>33.325644207402178</v>
      </c>
      <c r="AB106" s="7">
        <v>25.339598114523849</v>
      </c>
      <c r="AC106" s="5">
        <v>1.4599999999999937</v>
      </c>
      <c r="AD106" s="4">
        <v>125.616</v>
      </c>
      <c r="AE106" s="5">
        <v>1.2620000000000005</v>
      </c>
      <c r="AF106" s="4">
        <v>121.59399999999999</v>
      </c>
      <c r="AG106" s="4">
        <v>247.21</v>
      </c>
      <c r="AH106" s="5">
        <v>2.7220000000000084</v>
      </c>
      <c r="AI106" s="9">
        <v>2.5941454943709905</v>
      </c>
      <c r="AJ106" s="9">
        <v>0.12785450562900391</v>
      </c>
      <c r="AK106" s="10">
        <v>13.773683666993762</v>
      </c>
      <c r="AL106" s="8">
        <f t="shared" si="4"/>
        <v>-3.5180170003270952</v>
      </c>
      <c r="AM106" s="9">
        <v>9.511866812693631</v>
      </c>
      <c r="AN106" s="9">
        <v>4.2618168543001307</v>
      </c>
    </row>
    <row r="107" spans="1:40" x14ac:dyDescent="0.35">
      <c r="A107" s="3">
        <v>2009</v>
      </c>
      <c r="B107" s="3">
        <v>635.71600000000001</v>
      </c>
      <c r="C107" s="3">
        <v>538.96199999999999</v>
      </c>
      <c r="D107">
        <v>96.754000000000005</v>
      </c>
      <c r="E107" s="3">
        <v>180.63</v>
      </c>
      <c r="F107">
        <v>128.423</v>
      </c>
      <c r="G107">
        <v>52.207000000000001</v>
      </c>
      <c r="H107" s="3">
        <v>455.08600000000001</v>
      </c>
      <c r="I107" s="3">
        <v>1.7090000000000001</v>
      </c>
      <c r="J107" s="11">
        <v>6.2663333333333338</v>
      </c>
      <c r="K107" s="3">
        <v>13.133000000000099</v>
      </c>
      <c r="L107" s="3">
        <v>4.1130000000000004</v>
      </c>
      <c r="M107" s="3">
        <v>1038.7170000000001</v>
      </c>
      <c r="N107">
        <v>14.842000000000098</v>
      </c>
      <c r="O107" s="7">
        <v>54.420666666667024</v>
      </c>
      <c r="P107" s="3">
        <v>400.55900000000003</v>
      </c>
      <c r="Q107" s="3">
        <v>0.89199999999999591</v>
      </c>
      <c r="R107">
        <v>126.508</v>
      </c>
      <c r="S107" s="3">
        <v>8.7540000000000191</v>
      </c>
      <c r="T107" s="3">
        <v>276.49299999999999</v>
      </c>
      <c r="U107" s="3">
        <v>403.00099999999998</v>
      </c>
      <c r="V107" s="7">
        <v>9.646000000000015</v>
      </c>
      <c r="W107" s="7">
        <v>8.8698176969371669</v>
      </c>
      <c r="X107" s="7">
        <v>0.77618230306284863</v>
      </c>
      <c r="Y107" s="8">
        <v>58.395408324197888</v>
      </c>
      <c r="Z107" s="8">
        <f t="shared" si="3"/>
        <v>-3.9747416575308634</v>
      </c>
      <c r="AA107" s="7">
        <v>32.522664888769604</v>
      </c>
      <c r="AB107" s="7">
        <v>25.872743435428287</v>
      </c>
      <c r="AC107" s="5">
        <v>0.89199999999999591</v>
      </c>
      <c r="AD107" s="4">
        <v>126.508</v>
      </c>
      <c r="AE107" s="5">
        <v>1.2340000000000089</v>
      </c>
      <c r="AF107" s="4">
        <v>122.828</v>
      </c>
      <c r="AG107" s="4">
        <v>249.33600000000001</v>
      </c>
      <c r="AH107" s="5">
        <v>2.1260000000000048</v>
      </c>
      <c r="AI107" s="9">
        <v>2.008248985111535</v>
      </c>
      <c r="AJ107" s="9">
        <v>0.11775101488846962</v>
      </c>
      <c r="AK107" s="10">
        <v>11.288613441691282</v>
      </c>
      <c r="AL107" s="8">
        <f t="shared" si="4"/>
        <v>-5.0222801083579487</v>
      </c>
      <c r="AM107" s="9">
        <v>7.3635796120756289</v>
      </c>
      <c r="AN107" s="9">
        <v>3.9250338296156535</v>
      </c>
    </row>
    <row r="108" spans="1:40" x14ac:dyDescent="0.35">
      <c r="A108" s="3">
        <v>2010</v>
      </c>
      <c r="B108" s="3">
        <v>640.80200000000002</v>
      </c>
      <c r="C108" s="3">
        <v>542.09199999999998</v>
      </c>
      <c r="D108">
        <v>98.71</v>
      </c>
      <c r="E108" s="3">
        <v>180.601</v>
      </c>
      <c r="F108">
        <v>128.006</v>
      </c>
      <c r="G108">
        <v>52.594999999999999</v>
      </c>
      <c r="H108" s="3">
        <v>460.20100000000002</v>
      </c>
      <c r="I108" s="3">
        <v>2.4340000000000002</v>
      </c>
      <c r="J108" s="11">
        <v>8.924666666666667</v>
      </c>
      <c r="K108" s="3">
        <v>12.640999999999817</v>
      </c>
      <c r="L108" s="3">
        <v>3.9089999999999998</v>
      </c>
      <c r="M108" s="3">
        <v>1053.9780000000001</v>
      </c>
      <c r="N108">
        <v>15.074999999999818</v>
      </c>
      <c r="O108" s="7">
        <v>55.274999999999331</v>
      </c>
      <c r="P108" s="3">
        <v>410.54899999999998</v>
      </c>
      <c r="Q108" s="3">
        <v>1.2710000000000008</v>
      </c>
      <c r="R108">
        <v>127.779</v>
      </c>
      <c r="S108" s="3">
        <v>8.9039999999999964</v>
      </c>
      <c r="T108" s="3">
        <v>285.39699999999999</v>
      </c>
      <c r="U108" s="3">
        <v>413.17599999999999</v>
      </c>
      <c r="V108" s="7">
        <v>10.174999999999997</v>
      </c>
      <c r="W108" s="7">
        <v>9.3559360111396472</v>
      </c>
      <c r="X108" s="7">
        <v>0.81906398886034926</v>
      </c>
      <c r="Y108" s="8">
        <v>61.607231669523678</v>
      </c>
      <c r="Z108" s="8">
        <f t="shared" si="3"/>
        <v>-6.3322316695243472</v>
      </c>
      <c r="AA108" s="7">
        <v>34.305098707512037</v>
      </c>
      <c r="AB108" s="7">
        <v>27.30213296201164</v>
      </c>
      <c r="AC108" s="5">
        <v>1.2710000000000008</v>
      </c>
      <c r="AD108" s="4">
        <v>127.779</v>
      </c>
      <c r="AE108" s="5">
        <v>1.1919999999999931</v>
      </c>
      <c r="AF108" s="4">
        <v>124.02</v>
      </c>
      <c r="AG108" s="4">
        <v>251.79900000000001</v>
      </c>
      <c r="AH108" s="5">
        <v>2.4629999999999939</v>
      </c>
      <c r="AI108" s="9">
        <v>2.3413723478235897</v>
      </c>
      <c r="AJ108" s="9">
        <v>0.12162765217640414</v>
      </c>
      <c r="AK108" s="10">
        <v>12.639287014566634</v>
      </c>
      <c r="AL108" s="8">
        <f t="shared" si="4"/>
        <v>-3.7146203478999666</v>
      </c>
      <c r="AM108" s="9">
        <v>8.5850319420198282</v>
      </c>
      <c r="AN108" s="9">
        <v>4.0542550725468045</v>
      </c>
    </row>
    <row r="109" spans="1:40" x14ac:dyDescent="0.35">
      <c r="A109" s="3">
        <v>2011</v>
      </c>
      <c r="B109" s="3">
        <v>646.36</v>
      </c>
      <c r="C109" s="3">
        <v>545.65700000000004</v>
      </c>
      <c r="D109">
        <v>100.703</v>
      </c>
      <c r="E109" s="3">
        <v>180.755</v>
      </c>
      <c r="F109">
        <v>127.72799999999999</v>
      </c>
      <c r="G109">
        <v>53.027000000000001</v>
      </c>
      <c r="H109" s="3">
        <v>465.60500000000002</v>
      </c>
      <c r="I109" s="3">
        <v>2.7360000000000002</v>
      </c>
      <c r="J109" s="11">
        <v>10.032</v>
      </c>
      <c r="K109" s="3">
        <v>13.037000000000138</v>
      </c>
      <c r="L109" s="3">
        <v>3.8849999999999998</v>
      </c>
      <c r="M109" s="3">
        <v>1069.9639999999999</v>
      </c>
      <c r="N109">
        <v>15.773000000000138</v>
      </c>
      <c r="O109" s="7">
        <v>57.834333333333838</v>
      </c>
      <c r="P109" s="3">
        <v>420.76299999999998</v>
      </c>
      <c r="Q109" s="3">
        <v>1.4279999999999973</v>
      </c>
      <c r="R109">
        <v>129.20699999999999</v>
      </c>
      <c r="S109" s="3">
        <v>9</v>
      </c>
      <c r="T109" s="3">
        <v>294.39699999999999</v>
      </c>
      <c r="U109" s="3">
        <v>423.60399999999998</v>
      </c>
      <c r="V109" s="7">
        <v>10.427999999999997</v>
      </c>
      <c r="W109" s="7">
        <v>9.6097631642603876</v>
      </c>
      <c r="X109" s="7">
        <v>0.81823683573960904</v>
      </c>
      <c r="Y109" s="8">
        <v>62.510359460275055</v>
      </c>
      <c r="Z109" s="8">
        <f t="shared" si="3"/>
        <v>-4.6760261269412169</v>
      </c>
      <c r="AA109" s="7">
        <v>35.235798268954753</v>
      </c>
      <c r="AB109" s="7">
        <v>27.274561191320299</v>
      </c>
      <c r="AC109" s="5">
        <v>1.4279999999999973</v>
      </c>
      <c r="AD109" s="4">
        <v>129.20699999999999</v>
      </c>
      <c r="AE109" s="5">
        <v>1.1540000000000106</v>
      </c>
      <c r="AF109" s="4">
        <v>125.17400000000001</v>
      </c>
      <c r="AG109" s="4">
        <v>254.381</v>
      </c>
      <c r="AH109" s="5">
        <v>2.5819999999999936</v>
      </c>
      <c r="AI109" s="9">
        <v>2.463538963090854</v>
      </c>
      <c r="AJ109" s="9">
        <v>0.1184610369091541</v>
      </c>
      <c r="AK109" s="10">
        <v>12.981677428304934</v>
      </c>
      <c r="AL109" s="8">
        <f t="shared" si="4"/>
        <v>-2.9496774283049341</v>
      </c>
      <c r="AM109" s="9">
        <v>9.0329761979997976</v>
      </c>
      <c r="AN109" s="9">
        <v>3.9487012303051365</v>
      </c>
    </row>
    <row r="110" spans="1:40" x14ac:dyDescent="0.35">
      <c r="A110" s="3">
        <v>2012</v>
      </c>
      <c r="B110" s="3">
        <v>654.24800000000005</v>
      </c>
      <c r="C110" s="3">
        <v>551.51800000000003</v>
      </c>
      <c r="D110">
        <v>102.73</v>
      </c>
      <c r="E110" s="3">
        <v>180.922</v>
      </c>
      <c r="F110">
        <v>127.49</v>
      </c>
      <c r="G110">
        <v>53.432000000000002</v>
      </c>
      <c r="H110" s="3">
        <v>473.32600000000002</v>
      </c>
      <c r="I110" s="3">
        <v>2.6850000000000001</v>
      </c>
      <c r="J110" s="11">
        <v>9.8450000000000006</v>
      </c>
      <c r="K110" s="3">
        <v>15.457000000000052</v>
      </c>
      <c r="L110" s="3">
        <v>3.8820000000000001</v>
      </c>
      <c r="M110" s="3">
        <v>1088.3609999999999</v>
      </c>
      <c r="N110">
        <v>18.142000000000053</v>
      </c>
      <c r="O110" s="7">
        <v>66.520666666666855</v>
      </c>
      <c r="P110" s="3">
        <v>431.017</v>
      </c>
      <c r="Q110" s="3">
        <v>1.4010000000000105</v>
      </c>
      <c r="R110">
        <v>130.608</v>
      </c>
      <c r="S110" s="3">
        <v>9.1080000000000041</v>
      </c>
      <c r="T110" s="3">
        <v>303.505</v>
      </c>
      <c r="U110" s="3">
        <v>434.113</v>
      </c>
      <c r="V110" s="7">
        <v>10.509000000000015</v>
      </c>
      <c r="W110" s="7">
        <v>9.6903363960066411</v>
      </c>
      <c r="X110" s="7">
        <v>0.81866360399337301</v>
      </c>
      <c r="Y110" s="8">
        <v>62.820020251803456</v>
      </c>
      <c r="Z110" s="8">
        <f t="shared" si="3"/>
        <v>3.7006464148633995</v>
      </c>
      <c r="AA110" s="7">
        <v>35.531233452024352</v>
      </c>
      <c r="AB110" s="7">
        <v>27.2887867997791</v>
      </c>
      <c r="AC110" s="5">
        <v>1.4010000000000105</v>
      </c>
      <c r="AD110" s="4">
        <v>130.608</v>
      </c>
      <c r="AE110" s="5">
        <v>1.1159999999999997</v>
      </c>
      <c r="AF110" s="4">
        <v>126.29</v>
      </c>
      <c r="AG110" s="4">
        <v>256.89800000000002</v>
      </c>
      <c r="AH110" s="5">
        <v>2.5170000000000243</v>
      </c>
      <c r="AI110" s="9">
        <v>2.4033138753836116</v>
      </c>
      <c r="AJ110" s="9">
        <v>0.11368612461639871</v>
      </c>
      <c r="AK110" s="10">
        <v>12.601688363619864</v>
      </c>
      <c r="AL110" s="8">
        <f t="shared" si="4"/>
        <v>-2.7566883636198636</v>
      </c>
      <c r="AM110" s="9">
        <v>8.8121508764065748</v>
      </c>
      <c r="AN110" s="9">
        <v>3.7895374872132899</v>
      </c>
    </row>
    <row r="111" spans="1:40" x14ac:dyDescent="0.35">
      <c r="A111" s="3">
        <v>2013</v>
      </c>
      <c r="B111" s="3">
        <v>663.41700000000003</v>
      </c>
      <c r="C111" s="3">
        <v>558.55899999999997</v>
      </c>
      <c r="D111">
        <v>104.858</v>
      </c>
      <c r="E111" s="3">
        <v>181.92099999999999</v>
      </c>
      <c r="F111">
        <v>128.06700000000001</v>
      </c>
      <c r="G111">
        <v>53.853999999999999</v>
      </c>
      <c r="H111" s="3">
        <v>481.49600000000004</v>
      </c>
      <c r="I111" s="3">
        <v>3.0470000000000002</v>
      </c>
      <c r="J111" s="11">
        <v>11.172333333333333</v>
      </c>
      <c r="K111" s="3">
        <v>15.838999999999967</v>
      </c>
      <c r="L111" s="3">
        <v>4.0179999999999998</v>
      </c>
      <c r="M111" s="3">
        <v>1107.6010000000001</v>
      </c>
      <c r="N111">
        <v>18.885999999999967</v>
      </c>
      <c r="O111" s="7">
        <v>69.248666666666537</v>
      </c>
      <c r="P111" s="3">
        <v>440.73399999999998</v>
      </c>
      <c r="Q111" s="3">
        <v>0.95900000000000318</v>
      </c>
      <c r="R111">
        <v>131.56700000000001</v>
      </c>
      <c r="S111" s="3">
        <v>9.1120000000000232</v>
      </c>
      <c r="T111" s="3">
        <v>312.61700000000002</v>
      </c>
      <c r="U111" s="3">
        <v>444.18400000000003</v>
      </c>
      <c r="V111" s="7">
        <v>10.071000000000026</v>
      </c>
      <c r="W111" s="7">
        <v>9.2638064757975656</v>
      </c>
      <c r="X111" s="7">
        <v>0.80719352420246038</v>
      </c>
      <c r="Y111" s="8">
        <v>60.873741218006415</v>
      </c>
      <c r="Z111" s="8">
        <f t="shared" si="3"/>
        <v>8.3749254486601217</v>
      </c>
      <c r="AA111" s="7">
        <v>33.967290411257736</v>
      </c>
      <c r="AB111" s="7">
        <v>26.906450806748676</v>
      </c>
      <c r="AC111" s="5">
        <v>0.95900000000000318</v>
      </c>
      <c r="AD111" s="4">
        <v>131.56700000000001</v>
      </c>
      <c r="AE111" s="5">
        <v>1.0879999999999939</v>
      </c>
      <c r="AF111" s="4">
        <v>127.378</v>
      </c>
      <c r="AG111" s="4">
        <v>258.94499999999999</v>
      </c>
      <c r="AH111" s="5">
        <v>2.0469999999999686</v>
      </c>
      <c r="AI111" s="9">
        <v>1.9414303375740047</v>
      </c>
      <c r="AJ111" s="9">
        <v>0.10556966242599242</v>
      </c>
      <c r="AK111" s="10">
        <v>10.637566651971095</v>
      </c>
      <c r="AL111" s="8">
        <f t="shared" si="4"/>
        <v>0.53476668136223715</v>
      </c>
      <c r="AM111" s="9">
        <v>7.1185779044380162</v>
      </c>
      <c r="AN111" s="9">
        <v>3.5189887475330801</v>
      </c>
    </row>
    <row r="112" spans="1:40" x14ac:dyDescent="0.35">
      <c r="A112" s="3">
        <v>2014</v>
      </c>
      <c r="B112" s="3">
        <v>672.55</v>
      </c>
      <c r="C112" s="3">
        <v>565.54199999999992</v>
      </c>
      <c r="D112">
        <v>107.008</v>
      </c>
      <c r="E112" s="3">
        <v>182.63200000000001</v>
      </c>
      <c r="F112">
        <v>128.386</v>
      </c>
      <c r="G112">
        <v>54.246000000000002</v>
      </c>
      <c r="H112" s="3">
        <v>489.91799999999995</v>
      </c>
      <c r="I112" s="3">
        <v>2.577</v>
      </c>
      <c r="J112" s="11">
        <v>9.4489999999999998</v>
      </c>
      <c r="K112" s="3">
        <v>16.17899999999986</v>
      </c>
      <c r="L112" s="3">
        <v>4.0869999999999997</v>
      </c>
      <c r="M112" s="3">
        <v>1126.6669999999999</v>
      </c>
      <c r="N112">
        <v>18.755999999999858</v>
      </c>
      <c r="O112" s="7">
        <v>68.77199999999948</v>
      </c>
      <c r="P112" s="3">
        <v>450.35700000000003</v>
      </c>
      <c r="Q112" s="3">
        <v>0.81099999999997863</v>
      </c>
      <c r="R112">
        <v>132.37799999999999</v>
      </c>
      <c r="S112" s="3">
        <v>9.1219999999999573</v>
      </c>
      <c r="T112" s="3">
        <v>321.73899999999998</v>
      </c>
      <c r="U112" s="3">
        <v>454.11699999999996</v>
      </c>
      <c r="V112" s="7">
        <v>9.9329999999999359</v>
      </c>
      <c r="W112" s="7">
        <v>9.1261131749594622</v>
      </c>
      <c r="X112" s="7">
        <v>0.80688682504047404</v>
      </c>
      <c r="Y112" s="8">
        <v>60.358642476200487</v>
      </c>
      <c r="Z112" s="8">
        <f t="shared" si="3"/>
        <v>8.413357523798993</v>
      </c>
      <c r="AA112" s="7">
        <v>33.462414974851356</v>
      </c>
      <c r="AB112" s="7">
        <v>26.896227501349131</v>
      </c>
      <c r="AC112" s="5">
        <v>0.81099999999997863</v>
      </c>
      <c r="AD112" s="4">
        <v>132.37799999999999</v>
      </c>
      <c r="AE112" s="5">
        <v>1.0549999999999926</v>
      </c>
      <c r="AF112" s="4">
        <v>128.43299999999999</v>
      </c>
      <c r="AG112" s="4">
        <v>260.81099999999998</v>
      </c>
      <c r="AH112" s="5">
        <v>1.8659999999999854</v>
      </c>
      <c r="AI112" s="9">
        <v>1.7648765295168456</v>
      </c>
      <c r="AJ112" s="9">
        <v>0.10112347048312575</v>
      </c>
      <c r="AK112" s="10">
        <v>9.8419962909992922</v>
      </c>
      <c r="AL112" s="8">
        <f t="shared" si="4"/>
        <v>-0.39299629099929234</v>
      </c>
      <c r="AM112" s="9">
        <v>6.4712139415617669</v>
      </c>
      <c r="AN112" s="9">
        <v>3.3707823494375253</v>
      </c>
    </row>
    <row r="113" spans="1:40" x14ac:dyDescent="0.35">
      <c r="A113" s="3">
        <v>2015</v>
      </c>
      <c r="B113" s="3">
        <v>682.81299999999999</v>
      </c>
      <c r="C113" s="3">
        <v>573.58299999999997</v>
      </c>
      <c r="D113">
        <v>109.23</v>
      </c>
      <c r="E113" s="3">
        <v>183.6</v>
      </c>
      <c r="F113">
        <v>128.93700000000001</v>
      </c>
      <c r="G113">
        <v>54.662999999999997</v>
      </c>
      <c r="H113" s="3">
        <v>499.21299999999997</v>
      </c>
      <c r="I113" s="3">
        <v>2.9369999999999998</v>
      </c>
      <c r="J113" s="11">
        <v>10.768999999999998</v>
      </c>
      <c r="K113" s="3">
        <v>17.242000000000086</v>
      </c>
      <c r="L113" s="3">
        <v>4.1879999999999997</v>
      </c>
      <c r="M113" s="3">
        <v>1147.173</v>
      </c>
      <c r="N113">
        <v>20.179000000000087</v>
      </c>
      <c r="O113" s="7">
        <v>73.989666666666977</v>
      </c>
      <c r="P113" s="3">
        <v>460.274</v>
      </c>
      <c r="Q113" s="3">
        <v>0.92500000000001137</v>
      </c>
      <c r="R113">
        <v>133.303</v>
      </c>
      <c r="S113" s="3">
        <v>9.3180000000000405</v>
      </c>
      <c r="T113" s="3">
        <v>331.05700000000002</v>
      </c>
      <c r="U113" s="3">
        <v>464.36</v>
      </c>
      <c r="V113" s="7">
        <v>10.243000000000052</v>
      </c>
      <c r="W113" s="7">
        <v>9.4196723007724401</v>
      </c>
      <c r="X113" s="7">
        <v>0.82332769922761084</v>
      </c>
      <c r="Y113" s="8">
        <v>61.983055077085979</v>
      </c>
      <c r="Z113" s="8">
        <f t="shared" si="3"/>
        <v>12.006611589580999</v>
      </c>
      <c r="AA113" s="7">
        <v>34.538798436165614</v>
      </c>
      <c r="AB113" s="7">
        <v>27.444256640920361</v>
      </c>
      <c r="AC113" s="5">
        <v>0.92500000000001137</v>
      </c>
      <c r="AD113" s="4">
        <v>133.303</v>
      </c>
      <c r="AE113" s="5">
        <v>1.0440000000000111</v>
      </c>
      <c r="AF113" s="4">
        <v>129.477</v>
      </c>
      <c r="AG113" s="4">
        <v>262.77999999999997</v>
      </c>
      <c r="AH113" s="5">
        <v>1.9689999999999941</v>
      </c>
      <c r="AI113" s="9">
        <v>1.8678166906578242</v>
      </c>
      <c r="AJ113" s="9">
        <v>0.10118330934219844</v>
      </c>
      <c r="AK113" s="10">
        <v>10.221438177151969</v>
      </c>
      <c r="AL113" s="8">
        <f t="shared" si="4"/>
        <v>0.54756182284802968</v>
      </c>
      <c r="AM113" s="9">
        <v>6.8486611990786876</v>
      </c>
      <c r="AN113" s="9">
        <v>3.372776978073281</v>
      </c>
    </row>
    <row r="114" spans="1:40" x14ac:dyDescent="0.35">
      <c r="A114" s="3">
        <v>2016</v>
      </c>
      <c r="B114" s="3">
        <v>693.27599999999995</v>
      </c>
      <c r="C114" s="3">
        <v>581.67499999999995</v>
      </c>
      <c r="D114">
        <v>111.601</v>
      </c>
      <c r="E114" s="3">
        <v>184.58</v>
      </c>
      <c r="F114">
        <v>129.48500000000001</v>
      </c>
      <c r="G114">
        <v>55.094999999999999</v>
      </c>
      <c r="H114" s="3">
        <v>508.69599999999991</v>
      </c>
      <c r="I114" s="3">
        <v>2.9089999999999998</v>
      </c>
      <c r="J114" s="11">
        <v>10.666333333333332</v>
      </c>
      <c r="K114" s="3">
        <v>17.550000000000061</v>
      </c>
      <c r="L114" s="3">
        <v>4.4130000000000003</v>
      </c>
      <c r="M114" s="3">
        <v>1167.9299999999998</v>
      </c>
      <c r="N114">
        <v>20.45900000000006</v>
      </c>
      <c r="O114" s="7">
        <v>75.016333333333549</v>
      </c>
      <c r="P114" s="3">
        <v>470.26900000000001</v>
      </c>
      <c r="Q114" s="3">
        <v>0.91499999999999204</v>
      </c>
      <c r="R114">
        <v>134.21799999999999</v>
      </c>
      <c r="S114" s="3">
        <v>9.3789999999999623</v>
      </c>
      <c r="T114" s="3">
        <v>340.43599999999998</v>
      </c>
      <c r="U114" s="3">
        <v>474.654</v>
      </c>
      <c r="V114" s="7">
        <v>10.293999999999954</v>
      </c>
      <c r="W114" s="7">
        <v>9.4581972730827051</v>
      </c>
      <c r="X114" s="7">
        <v>0.83580272691724844</v>
      </c>
      <c r="Y114" s="8">
        <v>62.540147565211534</v>
      </c>
      <c r="Z114" s="8">
        <f t="shared" si="3"/>
        <v>12.476185768122015</v>
      </c>
      <c r="AA114" s="7">
        <v>34.680056667969922</v>
      </c>
      <c r="AB114" s="7">
        <v>27.860090897241612</v>
      </c>
      <c r="AC114" s="5">
        <v>0.91499999999999204</v>
      </c>
      <c r="AD114" s="4">
        <v>134.21799999999999</v>
      </c>
      <c r="AE114" s="5">
        <v>1.01400000000001</v>
      </c>
      <c r="AF114" s="4">
        <v>130.49100000000001</v>
      </c>
      <c r="AG114" s="4">
        <v>264.709</v>
      </c>
      <c r="AH114" s="5">
        <v>1.9290000000000305</v>
      </c>
      <c r="AI114" s="9">
        <v>1.8297589683636608</v>
      </c>
      <c r="AJ114" s="9">
        <v>9.9241031636341348E-2</v>
      </c>
      <c r="AK114" s="10">
        <v>10.017150605211466</v>
      </c>
      <c r="AL114" s="8">
        <f t="shared" si="4"/>
        <v>0.6491827281218665</v>
      </c>
      <c r="AM114" s="9">
        <v>6.7091162173334222</v>
      </c>
      <c r="AN114" s="9">
        <v>3.3080343878780445</v>
      </c>
    </row>
    <row r="115" spans="1:40" x14ac:dyDescent="0.35">
      <c r="A115" s="3">
        <v>2017</v>
      </c>
      <c r="B115" s="3">
        <v>703.23299999999995</v>
      </c>
      <c r="C115" s="3">
        <v>589.19999999999993</v>
      </c>
      <c r="D115">
        <v>114.033</v>
      </c>
      <c r="E115" s="3">
        <v>185.321</v>
      </c>
      <c r="F115">
        <v>129.82400000000001</v>
      </c>
      <c r="G115">
        <v>55.497</v>
      </c>
      <c r="H115" s="3">
        <v>517.91199999999992</v>
      </c>
      <c r="I115" s="3">
        <v>2.5569999999999999</v>
      </c>
      <c r="J115" s="11">
        <v>9.3756666666666657</v>
      </c>
      <c r="K115" s="3">
        <v>17.410999999999849</v>
      </c>
      <c r="L115" s="3">
        <v>4.5410000000000004</v>
      </c>
      <c r="M115" s="3">
        <v>1188.223</v>
      </c>
      <c r="N115">
        <v>19.967999999999847</v>
      </c>
      <c r="O115" s="7">
        <v>73.21599999999944</v>
      </c>
      <c r="P115" s="3">
        <v>480.28</v>
      </c>
      <c r="Q115" s="3">
        <v>0.83200000000002206</v>
      </c>
      <c r="R115">
        <v>135.05000000000001</v>
      </c>
      <c r="S115" s="3">
        <v>9.5040000000000191</v>
      </c>
      <c r="T115" s="3">
        <v>349.94</v>
      </c>
      <c r="U115" s="3">
        <v>484.99</v>
      </c>
      <c r="V115" s="7">
        <v>10.336000000000041</v>
      </c>
      <c r="W115" s="7">
        <v>9.5017330531409545</v>
      </c>
      <c r="X115" s="7">
        <v>0.8342669468590872</v>
      </c>
      <c r="Y115" s="8">
        <v>62.648586090153067</v>
      </c>
      <c r="Z115" s="8">
        <f t="shared" si="3"/>
        <v>10.567413909846373</v>
      </c>
      <c r="AA115" s="7">
        <v>34.839687861516829</v>
      </c>
      <c r="AB115" s="7">
        <v>27.808898228636238</v>
      </c>
      <c r="AC115" s="5">
        <v>0.83200000000002206</v>
      </c>
      <c r="AD115" s="4">
        <v>135.05000000000001</v>
      </c>
      <c r="AE115" s="5">
        <v>0.98499999999998522</v>
      </c>
      <c r="AF115" s="4">
        <v>131.476</v>
      </c>
      <c r="AG115" s="4">
        <v>266.52600000000001</v>
      </c>
      <c r="AH115" s="5">
        <v>1.8170000000000073</v>
      </c>
      <c r="AI115" s="9">
        <v>1.7224218710945869</v>
      </c>
      <c r="AJ115" s="9">
        <v>9.45781289054205E-2</v>
      </c>
      <c r="AK115" s="10">
        <v>9.468151157527501</v>
      </c>
      <c r="AL115" s="8">
        <f t="shared" si="4"/>
        <v>-9.2484490860835322E-2</v>
      </c>
      <c r="AM115" s="9">
        <v>6.3155468606801515</v>
      </c>
      <c r="AN115" s="9">
        <v>3.15260429684735</v>
      </c>
    </row>
    <row r="116" spans="1:40" x14ac:dyDescent="0.35">
      <c r="A116" s="3">
        <v>2018</v>
      </c>
      <c r="B116" s="3">
        <v>711.90099999999995</v>
      </c>
      <c r="C116" s="3">
        <v>595.44299999999998</v>
      </c>
      <c r="D116">
        <v>116.458</v>
      </c>
      <c r="E116" s="3">
        <v>186.119</v>
      </c>
      <c r="F116">
        <v>130.20099999999999</v>
      </c>
      <c r="G116">
        <v>55.917999999999999</v>
      </c>
      <c r="H116" s="3">
        <v>525.78199999999993</v>
      </c>
      <c r="I116" s="3">
        <v>2.6030000000000002</v>
      </c>
      <c r="J116" s="11">
        <v>9.5443333333333342</v>
      </c>
      <c r="K116" s="3">
        <v>16.114000000000097</v>
      </c>
      <c r="L116" s="3">
        <v>4.556</v>
      </c>
      <c r="M116" s="3">
        <v>1207.2559999999999</v>
      </c>
      <c r="N116">
        <v>18.717000000000098</v>
      </c>
      <c r="O116" s="7">
        <v>68.62900000000036</v>
      </c>
      <c r="P116" s="3">
        <v>490.32900000000001</v>
      </c>
      <c r="Q116" s="3">
        <v>0.84599999999997522</v>
      </c>
      <c r="R116">
        <v>135.89599999999999</v>
      </c>
      <c r="S116" s="3">
        <v>9.5190000000000055</v>
      </c>
      <c r="T116" s="3">
        <v>359.459</v>
      </c>
      <c r="U116" s="3">
        <v>495.35500000000002</v>
      </c>
      <c r="V116" s="7">
        <v>10.364999999999981</v>
      </c>
      <c r="W116" s="7">
        <v>9.5145720924429895</v>
      </c>
      <c r="X116" s="7">
        <v>0.85042790755699049</v>
      </c>
      <c r="Y116" s="8">
        <v>63.234361257523979</v>
      </c>
      <c r="Z116" s="8">
        <f t="shared" si="3"/>
        <v>5.3946387424763813</v>
      </c>
      <c r="AA116" s="7">
        <v>34.886764338957633</v>
      </c>
      <c r="AB116" s="7">
        <v>28.347596918566346</v>
      </c>
      <c r="AC116" s="5">
        <v>0.84599999999997522</v>
      </c>
      <c r="AD116" s="4">
        <v>135.89599999999999</v>
      </c>
      <c r="AE116" s="5">
        <v>0.95799999999999841</v>
      </c>
      <c r="AF116" s="4">
        <v>132.434</v>
      </c>
      <c r="AG116" s="4">
        <v>268.33</v>
      </c>
      <c r="AH116" s="5">
        <v>1.8039999999999736</v>
      </c>
      <c r="AI116" s="9">
        <v>1.7101338605801899</v>
      </c>
      <c r="AJ116" s="9">
        <v>9.3866139419783723E-2</v>
      </c>
      <c r="AK116" s="10">
        <v>9.3993621361201534</v>
      </c>
      <c r="AL116" s="8">
        <f t="shared" si="4"/>
        <v>0.14497119721318086</v>
      </c>
      <c r="AM116" s="9">
        <v>6.2704908221273623</v>
      </c>
      <c r="AN116" s="9">
        <v>3.1288713139927906</v>
      </c>
    </row>
    <row r="117" spans="1:40" x14ac:dyDescent="0.35">
      <c r="A117" s="3">
        <v>2019</v>
      </c>
      <c r="B117" s="3">
        <v>720.726</v>
      </c>
      <c r="C117" s="3">
        <v>601.81100000000004</v>
      </c>
      <c r="D117">
        <v>118.91500000000001</v>
      </c>
      <c r="E117" s="3">
        <v>186.88499999999999</v>
      </c>
      <c r="F117">
        <v>130.57599999999999</v>
      </c>
      <c r="G117">
        <v>56.308999999999997</v>
      </c>
      <c r="H117" s="3">
        <v>533.84100000000001</v>
      </c>
      <c r="I117" s="3">
        <v>2.52</v>
      </c>
      <c r="J117" s="11">
        <v>9.24</v>
      </c>
      <c r="K117" s="3">
        <v>16.46700000000008</v>
      </c>
      <c r="L117" s="3">
        <v>4.5940000000000003</v>
      </c>
      <c r="M117" s="3">
        <v>1226.559</v>
      </c>
      <c r="N117">
        <v>18.98700000000008</v>
      </c>
      <c r="O117" s="7">
        <v>69.619000000000284</v>
      </c>
      <c r="P117" s="3">
        <v>500.49099999999999</v>
      </c>
      <c r="Q117" s="3">
        <v>0.81900000000001683</v>
      </c>
      <c r="R117">
        <v>136.715</v>
      </c>
      <c r="S117" s="3">
        <v>9.6589999999999918</v>
      </c>
      <c r="T117" s="3">
        <v>369.11799999999999</v>
      </c>
      <c r="U117" s="3">
        <v>505.83299999999997</v>
      </c>
      <c r="V117" s="7">
        <v>10.478000000000009</v>
      </c>
      <c r="W117" s="7">
        <v>9.6252203073679983</v>
      </c>
      <c r="X117" s="7">
        <v>0.85277969263201014</v>
      </c>
      <c r="Y117" s="8">
        <v>63.718464214749659</v>
      </c>
      <c r="Z117" s="8">
        <f t="shared" si="3"/>
        <v>5.9005357852506251</v>
      </c>
      <c r="AA117" s="7">
        <v>35.292474460349325</v>
      </c>
      <c r="AB117" s="7">
        <v>28.425989754400337</v>
      </c>
      <c r="AC117" s="5">
        <v>0.81900000000001683</v>
      </c>
      <c r="AD117" s="4">
        <v>136.715</v>
      </c>
      <c r="AE117" s="5">
        <v>0.93500000000000227</v>
      </c>
      <c r="AF117" s="4">
        <v>133.369</v>
      </c>
      <c r="AG117" s="4">
        <v>270.084</v>
      </c>
      <c r="AH117" s="5">
        <v>1.7540000000000191</v>
      </c>
      <c r="AI117" s="9">
        <v>1.663401760492798</v>
      </c>
      <c r="AJ117" s="9">
        <v>9.0598239507221234E-2</v>
      </c>
      <c r="AK117" s="10">
        <v>9.1190811053809657</v>
      </c>
      <c r="AL117" s="8">
        <f t="shared" si="4"/>
        <v>0.12091889461903449</v>
      </c>
      <c r="AM117" s="9">
        <v>6.0991397884735914</v>
      </c>
      <c r="AN117" s="9">
        <v>3.0199413169073743</v>
      </c>
    </row>
    <row r="118" spans="1:40" x14ac:dyDescent="0.35">
      <c r="A118" s="3">
        <v>2020</v>
      </c>
      <c r="B118" s="3">
        <v>728.28200000000004</v>
      </c>
      <c r="C118" s="3">
        <v>606.82900000000006</v>
      </c>
      <c r="D118">
        <v>121.453</v>
      </c>
      <c r="E118" s="3">
        <v>187.66900000000001</v>
      </c>
      <c r="F118">
        <v>130.94800000000001</v>
      </c>
      <c r="G118">
        <v>56.720999999999997</v>
      </c>
      <c r="H118" s="3">
        <v>540.61300000000006</v>
      </c>
      <c r="I118" s="3">
        <v>2.5139999999999998</v>
      </c>
      <c r="J118" s="11">
        <v>9.2179999999999982</v>
      </c>
      <c r="K118" s="3">
        <v>15.36399999999993</v>
      </c>
      <c r="L118" s="3">
        <v>4.6900000000000004</v>
      </c>
      <c r="M118" s="3">
        <v>1244.7090000000001</v>
      </c>
      <c r="N118">
        <v>17.877999999999929</v>
      </c>
      <c r="O118" s="7">
        <v>65.552666666666397</v>
      </c>
      <c r="P118" s="3">
        <v>510.81299999999999</v>
      </c>
      <c r="Q118" s="3">
        <v>0.81700000000000728</v>
      </c>
      <c r="R118">
        <v>137.53200000000001</v>
      </c>
      <c r="S118" s="3">
        <v>9.7769999999999868</v>
      </c>
      <c r="T118" s="3">
        <v>378.89499999999998</v>
      </c>
      <c r="U118" s="3">
        <v>516.42700000000002</v>
      </c>
      <c r="V118" s="7">
        <v>10.593999999999994</v>
      </c>
      <c r="W118" s="7">
        <v>9.7480413814405278</v>
      </c>
      <c r="X118" s="7">
        <v>0.84595861855946708</v>
      </c>
      <c r="Y118" s="8">
        <v>63.941439017264173</v>
      </c>
      <c r="Z118" s="8">
        <f t="shared" si="3"/>
        <v>1.611227649402224</v>
      </c>
      <c r="AA118" s="7">
        <v>35.74281839861527</v>
      </c>
      <c r="AB118" s="7">
        <v>28.198620618648899</v>
      </c>
      <c r="AC118" s="5">
        <v>0.81700000000000728</v>
      </c>
      <c r="AD118" s="4">
        <v>137.53200000000001</v>
      </c>
      <c r="AE118" s="5">
        <v>0.91200000000000614</v>
      </c>
      <c r="AF118" s="4">
        <v>134.28100000000001</v>
      </c>
      <c r="AG118" s="4">
        <v>271.81299999999999</v>
      </c>
      <c r="AH118" s="5">
        <v>1.728999999999985</v>
      </c>
      <c r="AI118" s="9">
        <v>1.6420288244886188</v>
      </c>
      <c r="AJ118" s="9">
        <v>8.6971175511394661E-2</v>
      </c>
      <c r="AK118" s="10">
        <v>8.9198115401714233</v>
      </c>
      <c r="AL118" s="8">
        <f t="shared" si="4"/>
        <v>0.29818845982857489</v>
      </c>
      <c r="AM118" s="9">
        <v>6.0207723564582682</v>
      </c>
      <c r="AN118" s="9">
        <v>2.8990391837131551</v>
      </c>
    </row>
    <row r="119" spans="1:40" x14ac:dyDescent="0.35">
      <c r="A119" s="3">
        <v>2021</v>
      </c>
      <c r="B119" s="3">
        <v>734.55799999999999</v>
      </c>
      <c r="C119" s="3">
        <v>610.56700000000001</v>
      </c>
      <c r="D119">
        <v>123.991</v>
      </c>
      <c r="E119" s="3">
        <v>188.60599999999999</v>
      </c>
      <c r="F119">
        <v>131.44799999999998</v>
      </c>
      <c r="G119">
        <v>57.158000000000001</v>
      </c>
      <c r="H119" s="3">
        <v>545.952</v>
      </c>
      <c r="I119" s="3">
        <v>2.7130000000000001</v>
      </c>
      <c r="J119" s="11">
        <v>9.9476666666666667</v>
      </c>
      <c r="K119" s="3">
        <v>13.998000000000012</v>
      </c>
      <c r="L119" s="3">
        <v>4.66</v>
      </c>
      <c r="M119" s="3">
        <v>1261.7190000000001</v>
      </c>
      <c r="N119">
        <v>16.711000000000013</v>
      </c>
      <c r="O119" s="7">
        <v>61.273666666666713</v>
      </c>
      <c r="P119" s="3">
        <v>521.24800000000005</v>
      </c>
      <c r="Q119" s="3">
        <v>0.88199999999997658</v>
      </c>
      <c r="R119">
        <v>138.41399999999999</v>
      </c>
      <c r="S119" s="3">
        <v>9.8520000000000323</v>
      </c>
      <c r="T119" s="3">
        <v>388.74700000000001</v>
      </c>
      <c r="U119" s="3">
        <v>527.16100000000006</v>
      </c>
      <c r="V119" s="7">
        <v>10.734000000000009</v>
      </c>
      <c r="W119" s="7">
        <v>9.8914962795925838</v>
      </c>
      <c r="X119" s="7">
        <v>0.8425037204074256</v>
      </c>
      <c r="Y119" s="8">
        <v>64.352277038753655</v>
      </c>
      <c r="Z119" s="8">
        <f t="shared" si="3"/>
        <v>-3.078610372086942</v>
      </c>
      <c r="AA119" s="7">
        <v>36.268819691839468</v>
      </c>
      <c r="AB119" s="7">
        <v>28.083457346914187</v>
      </c>
      <c r="AC119" s="5">
        <v>0.88199999999997658</v>
      </c>
      <c r="AD119" s="4">
        <v>138.41399999999999</v>
      </c>
      <c r="AE119" s="5">
        <v>0.89400000000000546</v>
      </c>
      <c r="AF119" s="4">
        <v>135.17500000000001</v>
      </c>
      <c r="AG119" s="4">
        <v>273.589</v>
      </c>
      <c r="AH119" s="5">
        <v>1.7760000000000105</v>
      </c>
      <c r="AI119" s="9">
        <v>1.6908230584529469</v>
      </c>
      <c r="AJ119" s="9">
        <v>8.5176941547035034E-2</v>
      </c>
      <c r="AK119" s="10">
        <v>9.0389159325619737</v>
      </c>
      <c r="AL119" s="8">
        <f t="shared" si="4"/>
        <v>0.90875073410469298</v>
      </c>
      <c r="AM119" s="9">
        <v>6.1996845476608051</v>
      </c>
      <c r="AN119" s="9">
        <v>2.8392313849011677</v>
      </c>
    </row>
    <row r="120" spans="1:40" x14ac:dyDescent="0.35">
      <c r="A120" s="3">
        <v>2022</v>
      </c>
      <c r="B120" s="3">
        <v>740.24</v>
      </c>
      <c r="C120" s="3">
        <v>613.68799999999999</v>
      </c>
      <c r="D120">
        <v>126.55200000000001</v>
      </c>
      <c r="E120" s="3">
        <v>189.47200000000001</v>
      </c>
      <c r="F120">
        <v>132.00400000000002</v>
      </c>
      <c r="G120">
        <v>57.468000000000004</v>
      </c>
      <c r="H120" s="3">
        <v>550.76800000000003</v>
      </c>
      <c r="I120" s="3">
        <v>2.581</v>
      </c>
      <c r="J120" s="11">
        <v>9.4636666666666667</v>
      </c>
      <c r="K120" s="3">
        <v>13.549999999999859</v>
      </c>
      <c r="L120" s="3">
        <v>4.6379999999999999</v>
      </c>
      <c r="M120" s="3">
        <v>1278.114</v>
      </c>
      <c r="N120">
        <v>16.130999999999858</v>
      </c>
      <c r="O120" s="7">
        <v>59.14699999999948</v>
      </c>
      <c r="P120" s="3">
        <v>531.69799999999998</v>
      </c>
      <c r="Q120" s="3">
        <v>0.83899999999999864</v>
      </c>
      <c r="R120">
        <v>139.25299999999999</v>
      </c>
      <c r="S120" s="3">
        <v>9.8739999999999668</v>
      </c>
      <c r="T120" s="3">
        <v>398.62099999999998</v>
      </c>
      <c r="U120" s="3">
        <v>537.87400000000002</v>
      </c>
      <c r="V120" s="7">
        <v>10.712999999999965</v>
      </c>
      <c r="W120" s="7">
        <v>9.8691042103255242</v>
      </c>
      <c r="X120" s="7">
        <v>0.84389578967444212</v>
      </c>
      <c r="Y120" s="8">
        <v>64.316575093674984</v>
      </c>
      <c r="Z120" s="8">
        <f>O120-Y120</f>
        <v>-5.1695750936755047</v>
      </c>
      <c r="AA120" s="7">
        <v>36.186715437860251</v>
      </c>
      <c r="AB120" s="7">
        <v>28.129859655814734</v>
      </c>
      <c r="AC120" s="5">
        <v>0.83899999999999864</v>
      </c>
      <c r="AD120" s="4">
        <v>139.25299999999999</v>
      </c>
      <c r="AE120" s="5">
        <v>0.87599999999997635</v>
      </c>
      <c r="AF120" s="4">
        <v>136.05099999999999</v>
      </c>
      <c r="AG120" s="4">
        <v>275.30399999999997</v>
      </c>
      <c r="AH120" s="5">
        <v>1.714999999999975</v>
      </c>
      <c r="AI120" s="9">
        <v>1.6318126671446631</v>
      </c>
      <c r="AJ120" s="9">
        <v>8.318733285531188E-2</v>
      </c>
      <c r="AK120" s="10">
        <v>8.7562242080408268</v>
      </c>
      <c r="AL120" s="8">
        <f>J120-AK120</f>
        <v>0.70744245862583988</v>
      </c>
      <c r="AM120" s="9">
        <v>5.9833131128637644</v>
      </c>
      <c r="AN120" s="9">
        <v>2.7729110951770628</v>
      </c>
    </row>
    <row r="122" spans="1:40" s="3" customFormat="1" x14ac:dyDescent="0.35">
      <c r="A122" s="3" t="s">
        <v>37</v>
      </c>
      <c r="L122"/>
      <c r="M122"/>
      <c r="P122" s="12"/>
      <c r="Q122" s="12"/>
      <c r="R122" s="13"/>
      <c r="S122" s="13"/>
      <c r="T122" s="13"/>
      <c r="U122" s="13"/>
      <c r="V122" s="14"/>
      <c r="W122" s="14"/>
      <c r="X122" s="14"/>
      <c r="Y122" s="14"/>
      <c r="Z122" s="14"/>
      <c r="AA122" s="15"/>
      <c r="AB122" s="15"/>
      <c r="AC122" s="16"/>
      <c r="AD122" s="16"/>
      <c r="AL122" s="14"/>
    </row>
    <row r="123" spans="1:40" s="3" customFormat="1" x14ac:dyDescent="0.35">
      <c r="A123" s="17" t="s">
        <v>38</v>
      </c>
      <c r="B123" s="3">
        <f>B111-B99</f>
        <v>131.36800000000005</v>
      </c>
      <c r="C123" s="3">
        <f t="shared" ref="C123:AD123" si="5">C111-C99</f>
        <v>105.40800000000002</v>
      </c>
      <c r="D123" s="3">
        <f t="shared" si="5"/>
        <v>25.960000000000008</v>
      </c>
      <c r="E123" s="3">
        <f t="shared" si="5"/>
        <v>3.3369999999999891</v>
      </c>
      <c r="F123" s="3">
        <f t="shared" si="5"/>
        <v>-1.6339999999999861</v>
      </c>
      <c r="G123" s="3">
        <f t="shared" si="5"/>
        <v>4.9709999999999965</v>
      </c>
      <c r="H123" s="3">
        <f t="shared" si="5"/>
        <v>128.03100000000006</v>
      </c>
      <c r="I123" s="3">
        <f t="shared" si="5"/>
        <v>0.25900000000000034</v>
      </c>
      <c r="J123" s="3">
        <f t="shared" si="5"/>
        <v>0.94966666666666733</v>
      </c>
      <c r="K123" s="3">
        <f t="shared" si="5"/>
        <v>-5.1580000000000013</v>
      </c>
      <c r="L123" s="3">
        <f t="shared" si="5"/>
        <v>0.13599999999999968</v>
      </c>
      <c r="M123" s="3">
        <f t="shared" si="5"/>
        <v>243.74400000000014</v>
      </c>
      <c r="N123" s="3">
        <f t="shared" si="5"/>
        <v>-4.8990000000000009</v>
      </c>
      <c r="O123" s="3">
        <f t="shared" si="5"/>
        <v>-17.963000000000008</v>
      </c>
      <c r="P123" s="3">
        <f t="shared" si="5"/>
        <v>109.38399999999996</v>
      </c>
      <c r="Q123" s="3">
        <f t="shared" si="5"/>
        <v>-7.2999999999993292E-2</v>
      </c>
      <c r="R123" s="3">
        <f t="shared" si="5"/>
        <v>14.559000000000012</v>
      </c>
      <c r="S123" s="3">
        <f t="shared" si="5"/>
        <v>2.1120000000000232</v>
      </c>
      <c r="T123" s="3">
        <f t="shared" si="5"/>
        <v>97.817000000000007</v>
      </c>
      <c r="U123" s="3">
        <f t="shared" si="5"/>
        <v>112.37600000000003</v>
      </c>
      <c r="V123" s="3">
        <f t="shared" si="5"/>
        <v>2.0390000000000299</v>
      </c>
      <c r="W123" s="3">
        <f t="shared" si="5"/>
        <v>1.8639971520888725</v>
      </c>
      <c r="X123" s="3">
        <f t="shared" si="5"/>
        <v>0.17500284791115739</v>
      </c>
      <c r="Y123" s="3">
        <f t="shared" si="5"/>
        <v>12.668084488031113</v>
      </c>
      <c r="Z123" s="11">
        <f>SUM(Z99:Z111)</f>
        <v>246.66386244419408</v>
      </c>
      <c r="AA123" s="3">
        <f t="shared" si="5"/>
        <v>6.8346562243258617</v>
      </c>
      <c r="AB123" s="3">
        <f t="shared" si="5"/>
        <v>5.8334282637052475</v>
      </c>
      <c r="AC123" s="3">
        <f t="shared" si="5"/>
        <v>-7.2999999999993292E-2</v>
      </c>
      <c r="AD123" s="3">
        <f t="shared" si="5"/>
        <v>14.559000000000012</v>
      </c>
      <c r="AE123" s="3">
        <f t="shared" ref="AE123:AN123" si="6">AE111-AE99</f>
        <v>-0.45600000000001728</v>
      </c>
      <c r="AF123" s="3">
        <f t="shared" si="6"/>
        <v>15.456999999999994</v>
      </c>
      <c r="AG123" s="3">
        <f t="shared" si="6"/>
        <v>30.015999999999991</v>
      </c>
      <c r="AH123" s="3">
        <f t="shared" si="6"/>
        <v>-0.52900000000002478</v>
      </c>
      <c r="AI123" s="3">
        <f t="shared" si="6"/>
        <v>-0.48637465852040584</v>
      </c>
      <c r="AJ123" s="3">
        <f t="shared" si="6"/>
        <v>-4.2625341479604839E-2</v>
      </c>
      <c r="AK123" s="3">
        <f t="shared" si="6"/>
        <v>-3.204218463894982</v>
      </c>
      <c r="AL123" s="11">
        <f>SUM(AL99:AL111)</f>
        <v>-36.975199530477539</v>
      </c>
      <c r="AM123" s="3">
        <f t="shared" si="6"/>
        <v>-1.7833737479081542</v>
      </c>
      <c r="AN123" s="3">
        <f t="shared" si="6"/>
        <v>-1.4208447159868278</v>
      </c>
    </row>
    <row r="124" spans="1:40" s="3" customFormat="1" x14ac:dyDescent="0.35">
      <c r="A124" s="17">
        <v>2014</v>
      </c>
      <c r="B124" s="3">
        <f>B112-B111</f>
        <v>9.1329999999999245</v>
      </c>
      <c r="C124" s="3">
        <f t="shared" ref="C124:AD132" si="7">C112-C111</f>
        <v>6.9829999999999472</v>
      </c>
      <c r="D124" s="3">
        <f t="shared" si="7"/>
        <v>2.1499999999999915</v>
      </c>
      <c r="E124" s="3">
        <f t="shared" si="7"/>
        <v>0.71100000000001273</v>
      </c>
      <c r="F124" s="3">
        <f t="shared" si="7"/>
        <v>0.3189999999999884</v>
      </c>
      <c r="G124" s="3">
        <f t="shared" si="7"/>
        <v>0.39200000000000301</v>
      </c>
      <c r="H124" s="3">
        <f t="shared" si="7"/>
        <v>8.4219999999999118</v>
      </c>
      <c r="I124" s="3">
        <f t="shared" si="7"/>
        <v>-0.4700000000000002</v>
      </c>
      <c r="J124" s="3">
        <f t="shared" si="7"/>
        <v>-1.7233333333333327</v>
      </c>
      <c r="K124" s="3">
        <f t="shared" si="7"/>
        <v>0.33999999999989328</v>
      </c>
      <c r="L124" s="3">
        <f t="shared" si="7"/>
        <v>6.899999999999995E-2</v>
      </c>
      <c r="M124" s="3">
        <f t="shared" si="7"/>
        <v>19.065999999999804</v>
      </c>
      <c r="N124" s="3">
        <f t="shared" si="7"/>
        <v>-0.13000000000010914</v>
      </c>
      <c r="O124" s="3">
        <f t="shared" si="7"/>
        <v>-0.47666666666705737</v>
      </c>
      <c r="P124" s="3">
        <f t="shared" si="7"/>
        <v>9.6230000000000473</v>
      </c>
      <c r="Q124" s="3">
        <f t="shared" si="7"/>
        <v>-0.14800000000002456</v>
      </c>
      <c r="R124" s="3">
        <f t="shared" si="7"/>
        <v>0.81099999999997863</v>
      </c>
      <c r="S124" s="3">
        <f t="shared" si="7"/>
        <v>9.9999999999340616E-3</v>
      </c>
      <c r="T124" s="3">
        <f t="shared" si="7"/>
        <v>9.1219999999999573</v>
      </c>
      <c r="U124" s="3">
        <f t="shared" si="7"/>
        <v>9.9329999999999359</v>
      </c>
      <c r="V124" s="3">
        <f t="shared" si="7"/>
        <v>-0.13800000000009049</v>
      </c>
      <c r="W124" s="3">
        <f t="shared" si="7"/>
        <v>-0.13769330083810338</v>
      </c>
      <c r="X124" s="3">
        <f t="shared" si="7"/>
        <v>-3.0669916198633462E-4</v>
      </c>
      <c r="Y124" s="3">
        <f t="shared" si="7"/>
        <v>-0.51509874180592874</v>
      </c>
      <c r="Z124" s="11">
        <f>Z112</f>
        <v>8.413357523798993</v>
      </c>
      <c r="AA124" s="3">
        <f t="shared" si="7"/>
        <v>-0.50487543640637966</v>
      </c>
      <c r="AB124" s="3">
        <f t="shared" si="7"/>
        <v>-1.0223305399545524E-2</v>
      </c>
      <c r="AC124" s="3">
        <f t="shared" si="7"/>
        <v>-0.14800000000002456</v>
      </c>
      <c r="AD124" s="3">
        <f t="shared" si="7"/>
        <v>0.81099999999997863</v>
      </c>
      <c r="AE124" s="3">
        <f t="shared" ref="AE124:AN124" si="8">AE112-AE111</f>
        <v>-3.3000000000001251E-2</v>
      </c>
      <c r="AF124" s="3">
        <f t="shared" si="8"/>
        <v>1.0549999999999926</v>
      </c>
      <c r="AG124" s="3">
        <f t="shared" si="8"/>
        <v>1.8659999999999854</v>
      </c>
      <c r="AH124" s="3">
        <f t="shared" si="8"/>
        <v>-0.18099999999998317</v>
      </c>
      <c r="AI124" s="3">
        <f t="shared" si="8"/>
        <v>-0.17655380805715915</v>
      </c>
      <c r="AJ124" s="3">
        <f t="shared" si="8"/>
        <v>-4.4461919428666619E-3</v>
      </c>
      <c r="AK124" s="3">
        <f t="shared" si="8"/>
        <v>-0.79557036097180323</v>
      </c>
      <c r="AL124" s="11">
        <f>AL112</f>
        <v>-0.39299629099929234</v>
      </c>
      <c r="AM124" s="3">
        <f t="shared" si="8"/>
        <v>-0.64736396287624931</v>
      </c>
      <c r="AN124" s="3">
        <f t="shared" si="8"/>
        <v>-0.1482063980955548</v>
      </c>
    </row>
    <row r="125" spans="1:40" s="3" customFormat="1" x14ac:dyDescent="0.35">
      <c r="A125" s="17">
        <v>2015</v>
      </c>
      <c r="B125" s="3">
        <f t="shared" ref="B125:Q132" si="9">B113-B112</f>
        <v>10.263000000000034</v>
      </c>
      <c r="C125" s="3">
        <f t="shared" si="9"/>
        <v>8.0410000000000537</v>
      </c>
      <c r="D125" s="3">
        <f t="shared" si="9"/>
        <v>2.2220000000000084</v>
      </c>
      <c r="E125" s="3">
        <f t="shared" si="9"/>
        <v>0.96799999999998931</v>
      </c>
      <c r="F125" s="3">
        <f t="shared" si="9"/>
        <v>0.55100000000001614</v>
      </c>
      <c r="G125" s="3">
        <f t="shared" si="9"/>
        <v>0.41699999999999449</v>
      </c>
      <c r="H125" s="3">
        <f t="shared" si="9"/>
        <v>9.2950000000000159</v>
      </c>
      <c r="I125" s="3">
        <f t="shared" si="9"/>
        <v>0.35999999999999988</v>
      </c>
      <c r="J125" s="3">
        <f t="shared" si="9"/>
        <v>1.3199999999999985</v>
      </c>
      <c r="K125" s="3">
        <f t="shared" si="9"/>
        <v>1.0630000000002262</v>
      </c>
      <c r="L125" s="3">
        <f t="shared" si="9"/>
        <v>0.10099999999999998</v>
      </c>
      <c r="M125" s="3">
        <f t="shared" si="9"/>
        <v>20.506000000000085</v>
      </c>
      <c r="N125" s="3">
        <f t="shared" si="9"/>
        <v>1.4230000000002292</v>
      </c>
      <c r="O125" s="3">
        <f t="shared" si="9"/>
        <v>5.2176666666674976</v>
      </c>
      <c r="P125" s="3">
        <f t="shared" si="9"/>
        <v>9.9169999999999732</v>
      </c>
      <c r="Q125" s="3">
        <f t="shared" si="9"/>
        <v>0.11400000000003274</v>
      </c>
      <c r="R125" s="3">
        <f t="shared" si="7"/>
        <v>0.92500000000001137</v>
      </c>
      <c r="S125" s="3">
        <f t="shared" si="7"/>
        <v>0.19600000000008322</v>
      </c>
      <c r="T125" s="3">
        <f t="shared" si="7"/>
        <v>9.3180000000000405</v>
      </c>
      <c r="U125" s="3">
        <f t="shared" si="7"/>
        <v>10.243000000000052</v>
      </c>
      <c r="V125" s="3">
        <f t="shared" si="7"/>
        <v>0.31000000000011596</v>
      </c>
      <c r="W125" s="3">
        <f t="shared" si="7"/>
        <v>0.29355912581297794</v>
      </c>
      <c r="X125" s="3">
        <f t="shared" si="7"/>
        <v>1.64408741871368E-2</v>
      </c>
      <c r="Y125" s="3">
        <f t="shared" si="7"/>
        <v>1.624412600885492</v>
      </c>
      <c r="Z125" s="11">
        <f t="shared" ref="Z125:Z132" si="10">Z113</f>
        <v>12.006611589580999</v>
      </c>
      <c r="AA125" s="3">
        <f t="shared" si="7"/>
        <v>1.0763834613142578</v>
      </c>
      <c r="AB125" s="3">
        <f t="shared" si="7"/>
        <v>0.54802913957123067</v>
      </c>
      <c r="AC125" s="3">
        <f t="shared" si="7"/>
        <v>0.11400000000003274</v>
      </c>
      <c r="AD125" s="3">
        <f t="shared" si="7"/>
        <v>0.92500000000001137</v>
      </c>
      <c r="AE125" s="3">
        <f t="shared" ref="AE125:AN125" si="11">AE113-AE112</f>
        <v>-1.0999999999981469E-2</v>
      </c>
      <c r="AF125" s="3">
        <f t="shared" si="11"/>
        <v>1.0440000000000111</v>
      </c>
      <c r="AG125" s="3">
        <f t="shared" si="11"/>
        <v>1.9689999999999941</v>
      </c>
      <c r="AH125" s="3">
        <f t="shared" si="11"/>
        <v>0.10300000000000864</v>
      </c>
      <c r="AI125" s="3">
        <f t="shared" si="11"/>
        <v>0.10294016114097859</v>
      </c>
      <c r="AJ125" s="3">
        <f t="shared" si="11"/>
        <v>5.9838859072680606E-5</v>
      </c>
      <c r="AK125" s="3">
        <f t="shared" si="11"/>
        <v>0.37944188615267649</v>
      </c>
      <c r="AL125" s="11">
        <f t="shared" ref="AL125:AL132" si="12">AL113</f>
        <v>0.54756182284802968</v>
      </c>
      <c r="AM125" s="3">
        <f t="shared" si="11"/>
        <v>0.37744725751692076</v>
      </c>
      <c r="AN125" s="3">
        <f t="shared" si="11"/>
        <v>1.9946286357557241E-3</v>
      </c>
    </row>
    <row r="126" spans="1:40" s="3" customFormat="1" x14ac:dyDescent="0.35">
      <c r="A126" s="17">
        <v>2016</v>
      </c>
      <c r="B126" s="3">
        <f t="shared" si="9"/>
        <v>10.462999999999965</v>
      </c>
      <c r="C126" s="3">
        <f t="shared" si="7"/>
        <v>8.0919999999999845</v>
      </c>
      <c r="D126" s="3">
        <f t="shared" si="7"/>
        <v>2.3709999999999951</v>
      </c>
      <c r="E126" s="3">
        <f t="shared" si="7"/>
        <v>0.98000000000001819</v>
      </c>
      <c r="F126" s="3">
        <f t="shared" si="7"/>
        <v>0.54800000000000182</v>
      </c>
      <c r="G126" s="3">
        <f t="shared" si="7"/>
        <v>0.43200000000000216</v>
      </c>
      <c r="H126" s="3">
        <f t="shared" si="7"/>
        <v>9.4829999999999472</v>
      </c>
      <c r="I126" s="3">
        <f t="shared" si="7"/>
        <v>-2.8000000000000025E-2</v>
      </c>
      <c r="J126" s="3">
        <f t="shared" si="7"/>
        <v>-0.10266666666666602</v>
      </c>
      <c r="K126" s="3">
        <f t="shared" si="7"/>
        <v>0.30799999999997496</v>
      </c>
      <c r="L126" s="3">
        <f t="shared" si="7"/>
        <v>0.22500000000000053</v>
      </c>
      <c r="M126" s="3">
        <f t="shared" si="7"/>
        <v>20.756999999999834</v>
      </c>
      <c r="N126" s="3">
        <f t="shared" si="7"/>
        <v>0.27999999999997272</v>
      </c>
      <c r="O126" s="3">
        <f t="shared" si="7"/>
        <v>1.0266666666665714</v>
      </c>
      <c r="P126" s="3">
        <f t="shared" si="7"/>
        <v>9.9950000000000045</v>
      </c>
      <c r="Q126" s="3">
        <f t="shared" si="7"/>
        <v>-1.0000000000019327E-2</v>
      </c>
      <c r="R126" s="3">
        <f t="shared" si="7"/>
        <v>0.91499999999999204</v>
      </c>
      <c r="S126" s="3">
        <f t="shared" si="7"/>
        <v>6.0999999999921783E-2</v>
      </c>
      <c r="T126" s="3">
        <f t="shared" si="7"/>
        <v>9.3789999999999623</v>
      </c>
      <c r="U126" s="3">
        <f t="shared" si="7"/>
        <v>10.293999999999983</v>
      </c>
      <c r="V126" s="3">
        <f t="shared" si="7"/>
        <v>5.0999999999902457E-2</v>
      </c>
      <c r="W126" s="3">
        <f t="shared" si="7"/>
        <v>3.8524972310264971E-2</v>
      </c>
      <c r="X126" s="3">
        <f t="shared" si="7"/>
        <v>1.2475027689637597E-2</v>
      </c>
      <c r="Y126" s="3">
        <f t="shared" si="7"/>
        <v>0.55709248812555501</v>
      </c>
      <c r="Z126" s="11">
        <f t="shared" si="10"/>
        <v>12.476185768122015</v>
      </c>
      <c r="AA126" s="3">
        <f t="shared" si="7"/>
        <v>0.14125823180430785</v>
      </c>
      <c r="AB126" s="3">
        <f t="shared" si="7"/>
        <v>0.41583425632125071</v>
      </c>
      <c r="AC126" s="3">
        <f t="shared" si="7"/>
        <v>-1.0000000000019327E-2</v>
      </c>
      <c r="AD126" s="3">
        <f t="shared" si="7"/>
        <v>0.91499999999999204</v>
      </c>
      <c r="AE126" s="3">
        <f t="shared" ref="AE126:AN126" si="13">AE114-AE113</f>
        <v>-3.0000000000001137E-2</v>
      </c>
      <c r="AF126" s="3">
        <f t="shared" si="13"/>
        <v>1.01400000000001</v>
      </c>
      <c r="AG126" s="3">
        <f t="shared" si="13"/>
        <v>1.9290000000000305</v>
      </c>
      <c r="AH126" s="3">
        <f t="shared" si="13"/>
        <v>-3.999999999996362E-2</v>
      </c>
      <c r="AI126" s="3">
        <f t="shared" si="13"/>
        <v>-3.8057722294163376E-2</v>
      </c>
      <c r="AJ126" s="3">
        <f t="shared" si="13"/>
        <v>-1.9422777058570873E-3</v>
      </c>
      <c r="AK126" s="3">
        <f t="shared" si="13"/>
        <v>-0.20428757194050284</v>
      </c>
      <c r="AL126" s="11">
        <f t="shared" si="12"/>
        <v>0.6491827281218665</v>
      </c>
      <c r="AM126" s="3">
        <f t="shared" si="13"/>
        <v>-0.13954498174526542</v>
      </c>
      <c r="AN126" s="3">
        <f t="shared" si="13"/>
        <v>-6.4742590195236538E-2</v>
      </c>
    </row>
    <row r="127" spans="1:40" s="3" customFormat="1" x14ac:dyDescent="0.35">
      <c r="A127" s="17">
        <v>2017</v>
      </c>
      <c r="B127" s="3">
        <f t="shared" si="9"/>
        <v>9.9569999999999936</v>
      </c>
      <c r="C127" s="3">
        <f t="shared" si="7"/>
        <v>7.5249999999999773</v>
      </c>
      <c r="D127" s="3">
        <f t="shared" si="7"/>
        <v>2.4320000000000022</v>
      </c>
      <c r="E127" s="3">
        <f t="shared" si="7"/>
        <v>0.74099999999998545</v>
      </c>
      <c r="F127" s="3">
        <f t="shared" si="7"/>
        <v>0.33899999999999864</v>
      </c>
      <c r="G127" s="3">
        <f t="shared" si="7"/>
        <v>0.40200000000000102</v>
      </c>
      <c r="H127" s="3">
        <f t="shared" si="7"/>
        <v>9.2160000000000082</v>
      </c>
      <c r="I127" s="3">
        <f t="shared" si="7"/>
        <v>-0.35199999999999987</v>
      </c>
      <c r="J127" s="3">
        <f t="shared" si="7"/>
        <v>-1.2906666666666666</v>
      </c>
      <c r="K127" s="3">
        <f t="shared" si="7"/>
        <v>-0.13900000000021251</v>
      </c>
      <c r="L127" s="3">
        <f t="shared" si="7"/>
        <v>0.12800000000000011</v>
      </c>
      <c r="M127" s="3">
        <f t="shared" si="7"/>
        <v>20.29300000000012</v>
      </c>
      <c r="N127" s="3">
        <f t="shared" si="7"/>
        <v>-0.49100000000021282</v>
      </c>
      <c r="O127" s="3">
        <f t="shared" si="7"/>
        <v>-1.8003333333341089</v>
      </c>
      <c r="P127" s="3">
        <f t="shared" si="7"/>
        <v>10.010999999999967</v>
      </c>
      <c r="Q127" s="3">
        <f t="shared" si="7"/>
        <v>-8.2999999999969987E-2</v>
      </c>
      <c r="R127" s="3">
        <f t="shared" si="7"/>
        <v>0.83200000000002206</v>
      </c>
      <c r="S127" s="3">
        <f t="shared" si="7"/>
        <v>0.12500000000005684</v>
      </c>
      <c r="T127" s="3">
        <f t="shared" si="7"/>
        <v>9.5040000000000191</v>
      </c>
      <c r="U127" s="3">
        <f t="shared" si="7"/>
        <v>10.336000000000013</v>
      </c>
      <c r="V127" s="3">
        <f t="shared" si="7"/>
        <v>4.2000000000086857E-2</v>
      </c>
      <c r="W127" s="3">
        <f t="shared" si="7"/>
        <v>4.3535780058249429E-2</v>
      </c>
      <c r="X127" s="3">
        <f t="shared" si="7"/>
        <v>-1.5357800581612402E-3</v>
      </c>
      <c r="Y127" s="3">
        <f t="shared" si="7"/>
        <v>0.10843852494153339</v>
      </c>
      <c r="Z127" s="11">
        <f t="shared" si="10"/>
        <v>10.567413909846373</v>
      </c>
      <c r="AA127" s="3">
        <f t="shared" si="7"/>
        <v>0.15963119354690747</v>
      </c>
      <c r="AB127" s="3">
        <f t="shared" si="7"/>
        <v>-5.1192668605374081E-2</v>
      </c>
      <c r="AC127" s="3">
        <f t="shared" si="7"/>
        <v>-8.2999999999969987E-2</v>
      </c>
      <c r="AD127" s="3">
        <f t="shared" si="7"/>
        <v>0.83200000000002206</v>
      </c>
      <c r="AE127" s="3">
        <f t="shared" ref="AE127:AN127" si="14">AE115-AE114</f>
        <v>-2.9000000000024784E-2</v>
      </c>
      <c r="AF127" s="3">
        <f t="shared" si="14"/>
        <v>0.98499999999998522</v>
      </c>
      <c r="AG127" s="3">
        <f t="shared" si="14"/>
        <v>1.8170000000000073</v>
      </c>
      <c r="AH127" s="3">
        <f t="shared" si="14"/>
        <v>-0.11200000000002319</v>
      </c>
      <c r="AI127" s="3">
        <f t="shared" si="14"/>
        <v>-0.10733709726907392</v>
      </c>
      <c r="AJ127" s="3">
        <f t="shared" si="14"/>
        <v>-4.6629027309208482E-3</v>
      </c>
      <c r="AK127" s="3">
        <f t="shared" si="14"/>
        <v>-0.5489994476839648</v>
      </c>
      <c r="AL127" s="11">
        <f t="shared" si="12"/>
        <v>-9.2484490860835322E-2</v>
      </c>
      <c r="AM127" s="3">
        <f t="shared" si="14"/>
        <v>-0.39356935665327075</v>
      </c>
      <c r="AN127" s="3">
        <f t="shared" si="14"/>
        <v>-0.15543009103069449</v>
      </c>
    </row>
    <row r="128" spans="1:40" s="3" customFormat="1" x14ac:dyDescent="0.35">
      <c r="A128" s="17">
        <v>2018</v>
      </c>
      <c r="B128" s="3">
        <f t="shared" si="9"/>
        <v>8.6680000000000064</v>
      </c>
      <c r="C128" s="3">
        <f t="shared" si="7"/>
        <v>6.2430000000000518</v>
      </c>
      <c r="D128" s="3">
        <f t="shared" si="7"/>
        <v>2.4249999999999972</v>
      </c>
      <c r="E128" s="3">
        <f t="shared" si="7"/>
        <v>0.79800000000000182</v>
      </c>
      <c r="F128" s="3">
        <f t="shared" si="7"/>
        <v>0.37699999999998113</v>
      </c>
      <c r="G128" s="3">
        <f t="shared" si="7"/>
        <v>0.42099999999999937</v>
      </c>
      <c r="H128" s="3">
        <f t="shared" si="7"/>
        <v>7.8700000000000045</v>
      </c>
      <c r="I128" s="3">
        <f t="shared" si="7"/>
        <v>4.6000000000000263E-2</v>
      </c>
      <c r="J128" s="3">
        <f t="shared" si="7"/>
        <v>0.16866666666666852</v>
      </c>
      <c r="K128" s="3">
        <f t="shared" si="7"/>
        <v>-1.2969999999997519</v>
      </c>
      <c r="L128" s="3">
        <f t="shared" si="7"/>
        <v>1.499999999999968E-2</v>
      </c>
      <c r="M128" s="3">
        <f t="shared" si="7"/>
        <v>19.032999999999902</v>
      </c>
      <c r="N128" s="3">
        <f t="shared" si="7"/>
        <v>-1.250999999999749</v>
      </c>
      <c r="O128" s="3">
        <f t="shared" si="7"/>
        <v>-4.5869999999990796</v>
      </c>
      <c r="P128" s="3">
        <f t="shared" si="7"/>
        <v>10.049000000000035</v>
      </c>
      <c r="Q128" s="3">
        <f t="shared" si="7"/>
        <v>1.3999999999953161E-2</v>
      </c>
      <c r="R128" s="3">
        <f t="shared" si="7"/>
        <v>0.84599999999997522</v>
      </c>
      <c r="S128" s="3">
        <f t="shared" si="7"/>
        <v>1.4999999999986358E-2</v>
      </c>
      <c r="T128" s="3">
        <f t="shared" si="7"/>
        <v>9.5190000000000055</v>
      </c>
      <c r="U128" s="3">
        <f t="shared" si="7"/>
        <v>10.365000000000009</v>
      </c>
      <c r="V128" s="3">
        <f t="shared" si="7"/>
        <v>2.8999999999939519E-2</v>
      </c>
      <c r="W128" s="3">
        <f t="shared" si="7"/>
        <v>1.2839039302035005E-2</v>
      </c>
      <c r="X128" s="3">
        <f t="shared" si="7"/>
        <v>1.6160960697903293E-2</v>
      </c>
      <c r="Y128" s="3">
        <f t="shared" si="7"/>
        <v>0.58577516737091173</v>
      </c>
      <c r="Z128" s="11">
        <f t="shared" si="10"/>
        <v>5.3946387424763813</v>
      </c>
      <c r="AA128" s="3">
        <f t="shared" si="7"/>
        <v>4.7076477440803899E-2</v>
      </c>
      <c r="AB128" s="3">
        <f t="shared" si="7"/>
        <v>0.53869868993010783</v>
      </c>
      <c r="AC128" s="3">
        <f t="shared" si="7"/>
        <v>1.3999999999953161E-2</v>
      </c>
      <c r="AD128" s="3">
        <f t="shared" si="7"/>
        <v>0.84599999999997522</v>
      </c>
      <c r="AE128" s="3">
        <f t="shared" ref="AE128:AN128" si="15">AE116-AE115</f>
        <v>-2.6999999999986812E-2</v>
      </c>
      <c r="AF128" s="3">
        <f t="shared" si="15"/>
        <v>0.95799999999999841</v>
      </c>
      <c r="AG128" s="3">
        <f t="shared" si="15"/>
        <v>1.8039999999999736</v>
      </c>
      <c r="AH128" s="3">
        <f t="shared" si="15"/>
        <v>-1.3000000000033651E-2</v>
      </c>
      <c r="AI128" s="3">
        <f t="shared" si="15"/>
        <v>-1.2288010514396985E-2</v>
      </c>
      <c r="AJ128" s="3">
        <f t="shared" si="15"/>
        <v>-7.11989485636777E-4</v>
      </c>
      <c r="AK128" s="3">
        <f t="shared" si="15"/>
        <v>-6.8789021407347661E-2</v>
      </c>
      <c r="AL128" s="11">
        <f t="shared" si="12"/>
        <v>0.14497119721318086</v>
      </c>
      <c r="AM128" s="3">
        <f t="shared" si="15"/>
        <v>-4.5056038552789168E-2</v>
      </c>
      <c r="AN128" s="3">
        <f t="shared" si="15"/>
        <v>-2.3732982854559381E-2</v>
      </c>
    </row>
    <row r="129" spans="1:40" s="3" customFormat="1" x14ac:dyDescent="0.35">
      <c r="A129" s="17">
        <v>2019</v>
      </c>
      <c r="B129" s="3">
        <f t="shared" si="9"/>
        <v>8.8250000000000455</v>
      </c>
      <c r="C129" s="3">
        <f t="shared" si="7"/>
        <v>6.3680000000000518</v>
      </c>
      <c r="D129" s="3">
        <f t="shared" si="7"/>
        <v>2.4570000000000078</v>
      </c>
      <c r="E129" s="3">
        <f t="shared" si="7"/>
        <v>0.76599999999999113</v>
      </c>
      <c r="F129" s="3">
        <f t="shared" si="7"/>
        <v>0.375</v>
      </c>
      <c r="G129" s="3">
        <f t="shared" si="7"/>
        <v>0.39099999999999824</v>
      </c>
      <c r="H129" s="3">
        <f t="shared" si="7"/>
        <v>8.0590000000000828</v>
      </c>
      <c r="I129" s="3">
        <f t="shared" si="7"/>
        <v>-8.3000000000000185E-2</v>
      </c>
      <c r="J129" s="3">
        <f t="shared" si="7"/>
        <v>-0.30433333333333401</v>
      </c>
      <c r="K129" s="3">
        <f t="shared" si="7"/>
        <v>0.35299999999998377</v>
      </c>
      <c r="L129" s="3">
        <f t="shared" si="7"/>
        <v>3.8000000000000256E-2</v>
      </c>
      <c r="M129" s="3">
        <f t="shared" si="7"/>
        <v>19.303000000000111</v>
      </c>
      <c r="N129" s="3">
        <f t="shared" si="7"/>
        <v>0.26999999999998181</v>
      </c>
      <c r="O129" s="3">
        <f t="shared" si="7"/>
        <v>0.98999999999992383</v>
      </c>
      <c r="P129" s="3">
        <f t="shared" si="7"/>
        <v>10.161999999999978</v>
      </c>
      <c r="Q129" s="3">
        <f t="shared" si="7"/>
        <v>-2.6999999999958391E-2</v>
      </c>
      <c r="R129" s="3">
        <f t="shared" si="7"/>
        <v>0.81900000000001683</v>
      </c>
      <c r="S129" s="3">
        <f t="shared" si="7"/>
        <v>0.13999999999998636</v>
      </c>
      <c r="T129" s="3">
        <f t="shared" si="7"/>
        <v>9.6589999999999918</v>
      </c>
      <c r="U129" s="3">
        <f t="shared" si="7"/>
        <v>10.477999999999952</v>
      </c>
      <c r="V129" s="3">
        <f t="shared" si="7"/>
        <v>0.11300000000002797</v>
      </c>
      <c r="W129" s="3">
        <f t="shared" si="7"/>
        <v>0.11064821492500876</v>
      </c>
      <c r="X129" s="3">
        <f t="shared" si="7"/>
        <v>2.3517850750196523E-3</v>
      </c>
      <c r="Y129" s="3">
        <f t="shared" si="7"/>
        <v>0.48410295722568009</v>
      </c>
      <c r="Z129" s="11">
        <f t="shared" si="10"/>
        <v>5.9005357852506251</v>
      </c>
      <c r="AA129" s="3">
        <f t="shared" si="7"/>
        <v>0.40571012139169227</v>
      </c>
      <c r="AB129" s="3">
        <f t="shared" si="7"/>
        <v>7.839283583399137E-2</v>
      </c>
      <c r="AC129" s="3">
        <f t="shared" si="7"/>
        <v>-2.6999999999958391E-2</v>
      </c>
      <c r="AD129" s="3">
        <f t="shared" si="7"/>
        <v>0.81900000000001683</v>
      </c>
      <c r="AE129" s="3">
        <f t="shared" ref="AE129:AN129" si="16">AE117-AE116</f>
        <v>-2.2999999999996135E-2</v>
      </c>
      <c r="AF129" s="3">
        <f t="shared" si="16"/>
        <v>0.93500000000000227</v>
      </c>
      <c r="AG129" s="3">
        <f t="shared" si="16"/>
        <v>1.7540000000000191</v>
      </c>
      <c r="AH129" s="3">
        <f t="shared" si="16"/>
        <v>-4.9999999999954525E-2</v>
      </c>
      <c r="AI129" s="3">
        <f t="shared" si="16"/>
        <v>-4.6732100087391926E-2</v>
      </c>
      <c r="AJ129" s="3">
        <f t="shared" si="16"/>
        <v>-3.2678999125624886E-3</v>
      </c>
      <c r="AK129" s="3">
        <f t="shared" si="16"/>
        <v>-0.28028103073918764</v>
      </c>
      <c r="AL129" s="11">
        <f t="shared" si="12"/>
        <v>0.12091889461903449</v>
      </c>
      <c r="AM129" s="3">
        <f t="shared" si="16"/>
        <v>-0.17135103365377091</v>
      </c>
      <c r="AN129" s="3">
        <f t="shared" si="16"/>
        <v>-0.10892999708541629</v>
      </c>
    </row>
    <row r="130" spans="1:40" s="3" customFormat="1" x14ac:dyDescent="0.35">
      <c r="A130" s="17">
        <v>2020</v>
      </c>
      <c r="B130" s="3">
        <f t="shared" si="9"/>
        <v>7.55600000000004</v>
      </c>
      <c r="C130" s="3">
        <f t="shared" si="7"/>
        <v>5.0180000000000291</v>
      </c>
      <c r="D130" s="3">
        <f t="shared" si="7"/>
        <v>2.5379999999999967</v>
      </c>
      <c r="E130" s="3">
        <f t="shared" si="7"/>
        <v>0.78400000000002024</v>
      </c>
      <c r="F130" s="3">
        <f t="shared" si="7"/>
        <v>0.3720000000000141</v>
      </c>
      <c r="G130" s="3">
        <f t="shared" si="7"/>
        <v>0.41199999999999903</v>
      </c>
      <c r="H130" s="3">
        <f t="shared" si="7"/>
        <v>6.7720000000000482</v>
      </c>
      <c r="I130" s="3">
        <f t="shared" si="7"/>
        <v>-6.0000000000002274E-3</v>
      </c>
      <c r="J130" s="3">
        <f t="shared" si="7"/>
        <v>-2.2000000000002018E-2</v>
      </c>
      <c r="K130" s="3">
        <f t="shared" si="7"/>
        <v>-1.1030000000001507</v>
      </c>
      <c r="L130" s="3">
        <f t="shared" si="7"/>
        <v>9.6000000000000085E-2</v>
      </c>
      <c r="M130" s="3">
        <f t="shared" si="7"/>
        <v>18.150000000000091</v>
      </c>
      <c r="N130" s="3">
        <f t="shared" si="7"/>
        <v>-1.109000000000151</v>
      </c>
      <c r="O130" s="3">
        <f t="shared" si="7"/>
        <v>-4.0663333333338869</v>
      </c>
      <c r="P130" s="3">
        <f t="shared" si="7"/>
        <v>10.322000000000003</v>
      </c>
      <c r="Q130" s="3">
        <f t="shared" si="7"/>
        <v>-2.0000000000095497E-3</v>
      </c>
      <c r="R130" s="3">
        <f t="shared" si="7"/>
        <v>0.81700000000000728</v>
      </c>
      <c r="S130" s="3">
        <f t="shared" si="7"/>
        <v>0.117999999999995</v>
      </c>
      <c r="T130" s="3">
        <f t="shared" si="7"/>
        <v>9.7769999999999868</v>
      </c>
      <c r="U130" s="3">
        <f t="shared" si="7"/>
        <v>10.594000000000051</v>
      </c>
      <c r="V130" s="3">
        <f t="shared" si="7"/>
        <v>0.11599999999998545</v>
      </c>
      <c r="W130" s="3">
        <f t="shared" si="7"/>
        <v>0.12282107407252951</v>
      </c>
      <c r="X130" s="3">
        <f t="shared" si="7"/>
        <v>-6.8210740725430652E-3</v>
      </c>
      <c r="Y130" s="3">
        <f t="shared" si="7"/>
        <v>0.22297480251451418</v>
      </c>
      <c r="Z130" s="11">
        <f t="shared" si="10"/>
        <v>1.611227649402224</v>
      </c>
      <c r="AA130" s="3">
        <f t="shared" si="7"/>
        <v>0.4503439382659451</v>
      </c>
      <c r="AB130" s="3">
        <f t="shared" si="7"/>
        <v>-0.22736913575143802</v>
      </c>
      <c r="AC130" s="3">
        <f t="shared" si="7"/>
        <v>-2.0000000000095497E-3</v>
      </c>
      <c r="AD130" s="3">
        <f t="shared" si="7"/>
        <v>0.81700000000000728</v>
      </c>
      <c r="AE130" s="3">
        <f t="shared" ref="AE130:AN130" si="17">AE118-AE117</f>
        <v>-2.2999999999996135E-2</v>
      </c>
      <c r="AF130" s="3">
        <f t="shared" si="17"/>
        <v>0.91200000000000614</v>
      </c>
      <c r="AG130" s="3">
        <f t="shared" si="17"/>
        <v>1.728999999999985</v>
      </c>
      <c r="AH130" s="3">
        <f t="shared" si="17"/>
        <v>-2.5000000000034106E-2</v>
      </c>
      <c r="AI130" s="3">
        <f t="shared" si="17"/>
        <v>-2.1372936004179222E-2</v>
      </c>
      <c r="AJ130" s="3">
        <f t="shared" si="17"/>
        <v>-3.6270639958265738E-3</v>
      </c>
      <c r="AK130" s="3">
        <f t="shared" si="17"/>
        <v>-0.19926956520954242</v>
      </c>
      <c r="AL130" s="11">
        <f t="shared" si="12"/>
        <v>0.29818845982857489</v>
      </c>
      <c r="AM130" s="3">
        <f t="shared" si="17"/>
        <v>-7.8367432015323146E-2</v>
      </c>
      <c r="AN130" s="3">
        <f t="shared" si="17"/>
        <v>-0.12090213319421927</v>
      </c>
    </row>
    <row r="131" spans="1:40" s="3" customFormat="1" x14ac:dyDescent="0.35">
      <c r="A131" s="17">
        <v>2021</v>
      </c>
      <c r="B131" s="3">
        <f t="shared" si="9"/>
        <v>6.2759999999999536</v>
      </c>
      <c r="C131" s="3">
        <f t="shared" si="7"/>
        <v>3.7379999999999427</v>
      </c>
      <c r="D131" s="3">
        <f t="shared" si="7"/>
        <v>2.5379999999999967</v>
      </c>
      <c r="E131" s="3">
        <f t="shared" si="7"/>
        <v>0.9369999999999834</v>
      </c>
      <c r="F131" s="3">
        <f t="shared" si="7"/>
        <v>0.49999999999997158</v>
      </c>
      <c r="G131" s="3">
        <f t="shared" si="7"/>
        <v>0.43700000000000472</v>
      </c>
      <c r="H131" s="3">
        <f t="shared" si="7"/>
        <v>5.3389999999999418</v>
      </c>
      <c r="I131" s="3">
        <f t="shared" si="7"/>
        <v>0.19900000000000029</v>
      </c>
      <c r="J131" s="3">
        <f t="shared" si="7"/>
        <v>0.72966666666666846</v>
      </c>
      <c r="K131" s="3">
        <f t="shared" si="7"/>
        <v>-1.3659999999999179</v>
      </c>
      <c r="L131" s="3">
        <f t="shared" si="7"/>
        <v>-3.0000000000000249E-2</v>
      </c>
      <c r="M131" s="3">
        <f t="shared" si="7"/>
        <v>17.009999999999991</v>
      </c>
      <c r="N131" s="3">
        <f t="shared" si="7"/>
        <v>-1.1669999999999163</v>
      </c>
      <c r="O131" s="3">
        <f t="shared" si="7"/>
        <v>-4.2789999999996837</v>
      </c>
      <c r="P131" s="3">
        <f t="shared" si="7"/>
        <v>10.435000000000059</v>
      </c>
      <c r="Q131" s="3">
        <f t="shared" si="7"/>
        <v>6.4999999999969305E-2</v>
      </c>
      <c r="R131" s="3">
        <f t="shared" si="7"/>
        <v>0.88199999999997658</v>
      </c>
      <c r="S131" s="3">
        <f t="shared" si="7"/>
        <v>7.5000000000045475E-2</v>
      </c>
      <c r="T131" s="3">
        <f t="shared" si="7"/>
        <v>9.8520000000000323</v>
      </c>
      <c r="U131" s="3">
        <f t="shared" si="7"/>
        <v>10.734000000000037</v>
      </c>
      <c r="V131" s="3">
        <f t="shared" si="7"/>
        <v>0.14000000000001478</v>
      </c>
      <c r="W131" s="3">
        <f t="shared" si="7"/>
        <v>0.14345489815205603</v>
      </c>
      <c r="X131" s="3">
        <f t="shared" si="7"/>
        <v>-3.4548981520414745E-3</v>
      </c>
      <c r="Y131" s="3">
        <f t="shared" si="7"/>
        <v>0.41083802148948223</v>
      </c>
      <c r="Z131" s="11">
        <f t="shared" si="10"/>
        <v>-3.078610372086942</v>
      </c>
      <c r="AA131" s="3">
        <f t="shared" si="7"/>
        <v>0.52600129322419775</v>
      </c>
      <c r="AB131" s="3">
        <f t="shared" si="7"/>
        <v>-0.11516327173471197</v>
      </c>
      <c r="AC131" s="3">
        <f t="shared" si="7"/>
        <v>6.4999999999969305E-2</v>
      </c>
      <c r="AD131" s="3">
        <f t="shared" si="7"/>
        <v>0.88199999999997658</v>
      </c>
      <c r="AE131" s="3">
        <f t="shared" ref="AE131:AN131" si="18">AE119-AE118</f>
        <v>-1.8000000000000682E-2</v>
      </c>
      <c r="AF131" s="3">
        <f t="shared" si="18"/>
        <v>0.89400000000000546</v>
      </c>
      <c r="AG131" s="3">
        <f t="shared" si="18"/>
        <v>1.7760000000000105</v>
      </c>
      <c r="AH131" s="3">
        <f t="shared" si="18"/>
        <v>4.7000000000025466E-2</v>
      </c>
      <c r="AI131" s="3">
        <f t="shared" si="18"/>
        <v>4.8794233964328138E-2</v>
      </c>
      <c r="AJ131" s="3">
        <f t="shared" si="18"/>
        <v>-1.7942339643596261E-3</v>
      </c>
      <c r="AK131" s="3">
        <f t="shared" si="18"/>
        <v>0.11910439239055037</v>
      </c>
      <c r="AL131" s="11">
        <f t="shared" si="12"/>
        <v>0.90875073410469298</v>
      </c>
      <c r="AM131" s="3">
        <f t="shared" si="18"/>
        <v>0.17891219120253687</v>
      </c>
      <c r="AN131" s="3">
        <f t="shared" si="18"/>
        <v>-5.9807798811987389E-2</v>
      </c>
    </row>
    <row r="132" spans="1:40" s="3" customFormat="1" x14ac:dyDescent="0.35">
      <c r="A132" s="17">
        <v>2022</v>
      </c>
      <c r="B132" s="3">
        <f t="shared" si="9"/>
        <v>5.6820000000000164</v>
      </c>
      <c r="C132" s="3">
        <f t="shared" si="7"/>
        <v>3.1209999999999809</v>
      </c>
      <c r="D132" s="3">
        <f t="shared" si="7"/>
        <v>2.561000000000007</v>
      </c>
      <c r="E132" s="3">
        <f t="shared" si="7"/>
        <v>0.86600000000001387</v>
      </c>
      <c r="F132" s="3">
        <f t="shared" si="7"/>
        <v>0.55600000000004002</v>
      </c>
      <c r="G132" s="3">
        <f t="shared" si="7"/>
        <v>0.31000000000000227</v>
      </c>
      <c r="H132" s="3">
        <f t="shared" si="7"/>
        <v>4.8160000000000309</v>
      </c>
      <c r="I132" s="3">
        <f t="shared" si="7"/>
        <v>-0.13200000000000012</v>
      </c>
      <c r="J132" s="3">
        <f t="shared" si="7"/>
        <v>-0.48399999999999999</v>
      </c>
      <c r="K132" s="3">
        <f t="shared" si="7"/>
        <v>-0.44800000000015316</v>
      </c>
      <c r="L132" s="3">
        <f t="shared" si="7"/>
        <v>-2.2000000000000242E-2</v>
      </c>
      <c r="M132" s="3">
        <f t="shared" si="7"/>
        <v>16.394999999999982</v>
      </c>
      <c r="N132" s="3">
        <f t="shared" si="7"/>
        <v>-0.58000000000015461</v>
      </c>
      <c r="O132" s="3">
        <f t="shared" si="7"/>
        <v>-2.1266666666672336</v>
      </c>
      <c r="P132" s="3">
        <f t="shared" si="7"/>
        <v>10.449999999999932</v>
      </c>
      <c r="Q132" s="3">
        <f t="shared" si="7"/>
        <v>-4.2999999999977945E-2</v>
      </c>
      <c r="R132" s="3">
        <f t="shared" si="7"/>
        <v>0.83899999999999864</v>
      </c>
      <c r="S132" s="3">
        <f t="shared" si="7"/>
        <v>2.1999999999934516E-2</v>
      </c>
      <c r="T132" s="3">
        <f t="shared" si="7"/>
        <v>9.8739999999999668</v>
      </c>
      <c r="U132" s="3">
        <f t="shared" si="7"/>
        <v>10.712999999999965</v>
      </c>
      <c r="V132" s="3">
        <f t="shared" si="7"/>
        <v>-2.1000000000043428E-2</v>
      </c>
      <c r="W132" s="3">
        <f t="shared" si="7"/>
        <v>-2.2392069267059611E-2</v>
      </c>
      <c r="X132" s="3">
        <f t="shared" si="7"/>
        <v>1.3920692670165158E-3</v>
      </c>
      <c r="Y132" s="3">
        <f t="shared" si="7"/>
        <v>-3.570194507867086E-2</v>
      </c>
      <c r="Z132" s="11">
        <f t="shared" si="10"/>
        <v>-5.1695750936755047</v>
      </c>
      <c r="AA132" s="3">
        <f t="shared" si="7"/>
        <v>-8.210425397921739E-2</v>
      </c>
      <c r="AB132" s="3">
        <f t="shared" si="7"/>
        <v>4.6402308900546529E-2</v>
      </c>
      <c r="AC132" s="3">
        <f t="shared" si="7"/>
        <v>-4.2999999999977945E-2</v>
      </c>
      <c r="AD132" s="3">
        <f t="shared" si="7"/>
        <v>0.83899999999999864</v>
      </c>
      <c r="AE132" s="3">
        <f t="shared" ref="AE132:AN132" si="19">AE120-AE119</f>
        <v>-1.8000000000029104E-2</v>
      </c>
      <c r="AF132" s="3">
        <f t="shared" si="19"/>
        <v>0.87599999999997635</v>
      </c>
      <c r="AG132" s="3">
        <f t="shared" si="19"/>
        <v>1.714999999999975</v>
      </c>
      <c r="AH132" s="3">
        <f t="shared" si="19"/>
        <v>-6.100000000003547E-2</v>
      </c>
      <c r="AI132" s="3">
        <f t="shared" si="19"/>
        <v>-5.9010391308283783E-2</v>
      </c>
      <c r="AJ132" s="3">
        <f t="shared" si="19"/>
        <v>-1.9896086917231548E-3</v>
      </c>
      <c r="AK132" s="3">
        <f t="shared" si="19"/>
        <v>-0.28269172452114688</v>
      </c>
      <c r="AL132" s="11">
        <f t="shared" si="12"/>
        <v>0.70744245862583988</v>
      </c>
      <c r="AM132" s="3">
        <f t="shared" si="19"/>
        <v>-0.21637143479704068</v>
      </c>
      <c r="AN132" s="3">
        <f t="shared" si="19"/>
        <v>-6.6320289724104864E-2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Brewer, Kelsey@ARB</dc:creator>
  <cp:lastModifiedBy>Brewer, Kelsey@ARB</cp:lastModifiedBy>
  <dcterms:created xsi:type="dcterms:W3CDTF">2025-10-22T19:48:22Z</dcterms:created>
  <dcterms:modified xsi:type="dcterms:W3CDTF">2025-11-18T22:05:33Z</dcterms:modified>
</cp:coreProperties>
</file>